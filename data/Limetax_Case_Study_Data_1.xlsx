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luca/Documents/Limetax Case Study/"/>
    </mc:Choice>
  </mc:AlternateContent>
  <xr:revisionPtr revIDLastSave="0" documentId="13_ncr:1_{B4630330-3097-2C41-B63F-FC47AD9077CA}" xr6:coauthVersionLast="47" xr6:coauthVersionMax="47" xr10:uidLastSave="{00000000-0000-0000-0000-000000000000}"/>
  <bookViews>
    <workbookView xWindow="0" yWindow="760" windowWidth="30240" windowHeight="17100" activeTab="3" xr2:uid="{00000000-000D-0000-FFFF-FFFF00000000}"/>
  </bookViews>
  <sheets>
    <sheet name="BWA Bergmann" sheetId="1" r:id="rId1"/>
    <sheet name="BWA Fiedler" sheetId="2" r:id="rId2"/>
    <sheet name="BWA Nowak" sheetId="3" r:id="rId3"/>
    <sheet name="Kanzlei-Profi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2" l="1"/>
  <c r="O31" i="1"/>
  <c r="O31" i="3"/>
  <c r="O18" i="1"/>
  <c r="P18" i="1"/>
  <c r="P18" i="2"/>
  <c r="O18" i="2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C18" i="1"/>
  <c r="D18" i="1"/>
  <c r="E18" i="1"/>
  <c r="F18" i="1"/>
  <c r="G18" i="1"/>
  <c r="H18" i="1"/>
  <c r="I18" i="1"/>
  <c r="J18" i="1"/>
  <c r="K18" i="1"/>
  <c r="L18" i="1"/>
  <c r="M18" i="1"/>
  <c r="N18" i="1"/>
  <c r="B18" i="1"/>
  <c r="C31" i="3"/>
  <c r="D31" i="3"/>
  <c r="E31" i="3"/>
  <c r="F31" i="3"/>
  <c r="G31" i="3"/>
  <c r="H31" i="3"/>
  <c r="I31" i="3"/>
  <c r="J31" i="3"/>
  <c r="K31" i="3"/>
  <c r="L31" i="3"/>
  <c r="M31" i="3"/>
  <c r="N31" i="3"/>
  <c r="B31" i="3"/>
  <c r="C17" i="3"/>
  <c r="D17" i="3"/>
  <c r="E17" i="3"/>
  <c r="F17" i="3"/>
  <c r="G17" i="3"/>
  <c r="H17" i="3"/>
  <c r="I17" i="3"/>
  <c r="J17" i="3"/>
  <c r="K17" i="3"/>
  <c r="L17" i="3"/>
  <c r="M17" i="3"/>
  <c r="N17" i="3"/>
  <c r="B17" i="3"/>
  <c r="C31" i="1"/>
  <c r="D31" i="1"/>
  <c r="E31" i="1"/>
  <c r="F31" i="1"/>
  <c r="G31" i="1"/>
  <c r="H31" i="1"/>
  <c r="I31" i="1"/>
  <c r="J31" i="1"/>
  <c r="K31" i="1"/>
  <c r="L31" i="1"/>
  <c r="M31" i="1"/>
  <c r="N31" i="1"/>
  <c r="B31" i="1"/>
  <c r="C17" i="1"/>
  <c r="D17" i="1"/>
  <c r="E17" i="1"/>
  <c r="F17" i="1"/>
  <c r="G17" i="1"/>
  <c r="H17" i="1"/>
  <c r="I17" i="1"/>
  <c r="J17" i="1"/>
  <c r="K17" i="1"/>
  <c r="L17" i="1"/>
  <c r="M17" i="1"/>
  <c r="N17" i="1"/>
  <c r="B17" i="1"/>
  <c r="C31" i="2"/>
  <c r="D31" i="2"/>
  <c r="E31" i="2"/>
  <c r="F31" i="2"/>
  <c r="G31" i="2"/>
  <c r="H31" i="2"/>
  <c r="I31" i="2"/>
  <c r="J31" i="2"/>
  <c r="K31" i="2"/>
  <c r="L31" i="2"/>
  <c r="M31" i="2"/>
  <c r="N31" i="2"/>
  <c r="B31" i="2"/>
  <c r="C17" i="2"/>
  <c r="D17" i="2"/>
  <c r="E17" i="2"/>
  <c r="F17" i="2"/>
  <c r="G17" i="2"/>
  <c r="H17" i="2"/>
  <c r="I17" i="2"/>
  <c r="J17" i="2"/>
  <c r="K17" i="2"/>
  <c r="L17" i="2"/>
  <c r="M17" i="2"/>
  <c r="N17" i="2"/>
  <c r="B17" i="2"/>
</calcChain>
</file>

<file path=xl/sharedStrings.xml><?xml version="1.0" encoding="utf-8"?>
<sst xmlns="http://schemas.openxmlformats.org/spreadsheetml/2006/main" count="207" uniqueCount="106">
  <si>
    <t>BWA Kurzreport — Steuerberatung Bergmann GmbH — FY 2025</t>
  </si>
  <si>
    <t>Position</t>
  </si>
  <si>
    <t>Jan</t>
  </si>
  <si>
    <t>Feb</t>
  </si>
  <si>
    <t>Mrz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</si>
  <si>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</si>
  <si>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</si>
  <si>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</si>
  <si>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</si>
  <si>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</si>
  <si>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</si>
  <si>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</si>
  <si>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</si>
  <si>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</si>
  <si>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Gesamt</t>
  </si>
  <si>
    <t>1. Umsatzerlöse</t>
  </si>
  <si>
    <t>Honorarumsätze Steuerberatung</t>
  </si>
  <si>
    <t>Honorarumsätze Lohn/Gehalt</t>
  </si>
  <si>
    <t>Honorarumsätze Jahresabschluss</t>
  </si>
  <si>
    <t>Sonstige Erlöse</t>
  </si>
  <si>
    <t>Gesamtleistung</t>
  </si>
  <si>
    <t>2. Personalaufwand</t>
  </si>
  <si>
    <t>Gehälter Fachangestellte</t>
  </si>
  <si>
    <t>Gehälter Berufsträger</t>
  </si>
  <si>
    <t>Sozialabgaben &amp; Nebenkosten</t>
  </si>
  <si>
    <t>Personalaufwand gesamt</t>
  </si>
  <si>
    <t xml:space="preserve">  in % der Gesamtleistung</t>
  </si>
  <si>
    <t>3. Sachaufwand</t>
  </si>
  <si>
    <t>Raumkosten</t>
  </si>
  <si>
    <t>IT &amp; Software (ohne DATEV)</t>
  </si>
  <si>
    <t>DATEV-Kosten</t>
  </si>
  <si>
    <t>Versicherungen</t>
  </si>
  <si>
    <t>Büromaterial &amp; Porto</t>
  </si>
  <si>
    <t>Reisekosten</t>
  </si>
  <si>
    <t>Marketing &amp; Akquise</t>
  </si>
  <si>
    <t>Rechts- &amp; Beratungskosten</t>
  </si>
  <si>
    <t>Übrige Sachkosten</t>
  </si>
  <si>
    <t>Sachaufwand gesamt</t>
  </si>
  <si>
    <t>EBITDA</t>
  </si>
  <si>
    <t xml:space="preserve">  EBITDA-Marge</t>
  </si>
  <si>
    <t>Abschreibungen</t>
  </si>
  <si>
    <t>EBIT</t>
  </si>
  <si>
    <t xml:space="preserve">  EBIT-Marge</t>
  </si>
  <si>
    <t>Zinsen &amp; ähnliche Aufwendungen</t>
  </si>
  <si>
    <t>EBT</t>
  </si>
  <si>
    <t>BWA Kurzreport — Kanzlei Fiedler &amp; Partner mbB — FY 2025</t>
  </si>
  <si>
    <t>BWA Kurzreport — STB Nowak GmbH — FY 2025</t>
  </si>
  <si>
    <t>Kanzlei-Profil — Operative Kennzahlen</t>
  </si>
  <si>
    <t>Kennzahl</t>
  </si>
  <si>
    <t>Bergmann (Stuttgart)</t>
  </si>
  <si>
    <t>Fiedler (Dortmund)</t>
  </si>
  <si>
    <t>Nowak (Leipzig)</t>
  </si>
  <si>
    <t>Gründungsjahr</t>
  </si>
  <si>
    <t>Berufsträger (Partner)</t>
  </si>
  <si>
    <t>Fachkräfte (FTE)</t>
  </si>
  <si>
    <t>Mitarbeiter gesamt</t>
  </si>
  <si>
    <t>Mandate aktiv</t>
  </si>
  <si>
    <t>Ø Honorar je Mandat (EUR/Jahr)</t>
  </si>
  <si>
    <t>~2.400</t>
  </si>
  <si>
    <t>~2.200</t>
  </si>
  <si>
    <t>~3.200</t>
  </si>
  <si>
    <t>Mandatsmix: Fibu/Laufende Beratung</t>
  </si>
  <si>
    <t>55%</t>
  </si>
  <si>
    <t>50%</t>
  </si>
  <si>
    <t>45%</t>
  </si>
  <si>
    <t>Mandatsmix: Lohn &amp; Gehalt</t>
  </si>
  <si>
    <t>20%</t>
  </si>
  <si>
    <t>25%</t>
  </si>
  <si>
    <t>15%</t>
  </si>
  <si>
    <t>Mandatsmix: Jahresabschluss/Steuererklärung</t>
  </si>
  <si>
    <t>Mandatsmix: Sonderberatung/Projekte</t>
  </si>
  <si>
    <t>5%</t>
  </si>
  <si>
    <t>DATEV-Module</t>
  </si>
  <si>
    <t>UO, Kanzlei-Rewe,
Lodas, DMS</t>
  </si>
  <si>
    <t>Kanzlei-Rewe, Lodas,
EO comfort</t>
  </si>
  <si>
    <t>UO, SmartTransfer,
Kanzlei-Rewe, LuG, DMS</t>
  </si>
  <si>
    <t>Digitalisierungsgrad</t>
  </si>
  <si>
    <t>Mittel</t>
  </si>
  <si>
    <t>Niedrig</t>
  </si>
  <si>
    <t>Hoch</t>
  </si>
  <si>
    <t>Anteil digitale Belege</t>
  </si>
  <si>
    <t>~50%</t>
  </si>
  <si>
    <t>~15%</t>
  </si>
  <si>
    <t>~85%</t>
  </si>
  <si>
    <t>Cloud-Telefonie</t>
  </si>
  <si>
    <t>Nein</t>
  </si>
  <si>
    <t>Ja</t>
  </si>
  <si>
    <t>Mandantenportal aktiv</t>
  </si>
  <si>
    <t>Ja (DATEV UO)</t>
  </si>
  <si>
    <t>Ja (DATEV UO + eigenes)</t>
  </si>
  <si>
    <t>Nachfolgesituation</t>
  </si>
  <si>
    <t>Partner 62 + 58 J.
Nachfolge ungeklärt</t>
  </si>
  <si>
    <t>Partner 67 + 61 + 54 J.
Seniorpartner sucht Exit</t>
  </si>
  <si>
    <t>Gründer 34 J.
Wachstumsorientiert</t>
  </si>
  <si>
    <t>Fluktuation (letzte 12M)</t>
  </si>
  <si>
    <t>2 Abgänge</t>
  </si>
  <si>
    <t>5 Abgänge</t>
  </si>
  <si>
    <t>0 Abgänge</t>
  </si>
  <si>
    <t>Krankenquote</t>
  </si>
  <si>
    <t>~6%</t>
  </si>
  <si>
    <t>~9%</t>
  </si>
  <si>
    <t>~3%</t>
  </si>
  <si>
    <t>Überstundenquote</t>
  </si>
  <si>
    <t>Moderat</t>
  </si>
  <si>
    <t>Hoch (Steuersaison)</t>
  </si>
  <si>
    <t>€ verdient pro € spend in Personalkosten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</si>
</sst>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([$€-2]\ * #,##0.00_);_([$€-2]\ * \(#,##0.00\);_([$€-2]\ * &quot;-&quot;??_);_(@_)"/>
  </numFmts>
  <fonts count="8" x14ac:knownFonts="1">
    <font>
      <sz val="11"/>
      <color theme="1"/>
      <name val="Calibri"/>
      <family val="2"/>
      <scheme val="minor"/>
    </font>
    <font>
      <b/>
      <sz val="14"/>
      <color rgb="FF1A1A2E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color rgb="FF666666"/>
      <name val="Arial"/>
      <family val="2"/>
    </font>
    <font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8E8F0"/>
      </patternFill>
    </fill>
    <fill>
      <patternFill patternType="solid">
        <fgColor rgb="FFF0F0F5"/>
      </patternFill>
    </fill>
  </fills>
  <borders count="3">
    <border>
      <left/>
      <right/>
      <top/>
      <bottom/>
      <diagonal/>
    </border>
    <border>
      <left/>
      <right/>
      <top style="medium">
        <color rgb="FF333333"/>
      </top>
      <bottom style="medium">
        <color rgb="FF333333"/>
      </bottom>
      <diagonal/>
    </border>
    <border>
      <left/>
      <right/>
      <top/>
      <bottom style="thin">
        <color rgb="FFCCCCCC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4" fillId="0" borderId="0" xfId="0" applyFont="1"/>
    <xf numFmtId="3" fontId="0" fillId="0" borderId="0" xfId="0" applyNumberFormat="1" applyAlignment="1">
      <alignment horizontal="right"/>
    </xf>
    <xf numFmtId="0" fontId="3" fillId="4" borderId="1" xfId="0" applyFont="1" applyFill="1" applyBorder="1"/>
    <xf numFmtId="3" fontId="0" fillId="4" borderId="1" xfId="0" applyNumberForma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/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0" fontId="2" fillId="2" borderId="0" xfId="0" applyFont="1" applyFill="1"/>
    <xf numFmtId="0" fontId="3" fillId="0" borderId="2" xfId="0" applyFont="1" applyBorder="1"/>
    <xf numFmtId="0" fontId="4" fillId="0" borderId="2" xfId="0" applyFont="1" applyBorder="1" applyAlignment="1">
      <alignment horizontal="center" wrapText="1"/>
    </xf>
    <xf numFmtId="0" fontId="4" fillId="0" borderId="2" xfId="0" applyFont="1" applyBorder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/>
    <xf numFmtId="9" fontId="7" fillId="0" borderId="0" xfId="1" applyFont="1" applyAlignment="1">
      <alignment horizontal="right"/>
    </xf>
    <xf numFmtId="164" fontId="7" fillId="0" borderId="0" xfId="0" applyNumberFormat="1" applyFont="1" applyAlignment="1">
      <alignment horizontal="right"/>
    </xf>
    <xf numFmtId="165" fontId="7" fillId="0" borderId="0" xfId="1" applyNumberFormat="1" applyFont="1" applyAlignment="1">
      <alignment horizontal="right"/>
    </xf>
    <xf numFmtId="9" fontId="7" fillId="0" borderId="0" xfId="1" applyFont="1"/>
    <xf numFmtId="165" fontId="7" fillId="0" borderId="0" xfId="0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workbookViewId="0">
      <selection activeCell="O32" sqref="O32"/>
    </sheetView>
  </sheetViews>
  <sheetFormatPr baseColWidth="10" defaultColWidth="8.83203125" defaultRowHeight="15" x14ac:dyDescent="0.2"/>
  <cols>
    <col min="1" max="1" width="35" customWidth="1"/>
    <col min="2" max="14" width="13" customWidth="1"/>
    <col min="15" max="15" width="14" bestFit="1" customWidth="1"/>
  </cols>
  <sheetData>
    <row r="1" spans="1:14" ht="18" x14ac:dyDescent="0.2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3" spans="1:14" x14ac:dyDescent="0.2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5" spans="1:14" x14ac:dyDescent="0.2">
      <c r="A5" s="3" t="s">
        <v>15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">
      <c r="A6" s="5" t="s">
        <v>16</v>
      </c>
      <c r="B6" s="6">
        <v>42217</v>
      </c>
      <c r="C6" s="6">
        <v>41143</v>
      </c>
      <c r="D6" s="6">
        <v>45842</v>
      </c>
      <c r="E6" s="6">
        <v>47569</v>
      </c>
      <c r="F6" s="6">
        <v>44183</v>
      </c>
      <c r="G6" s="6">
        <v>42834</v>
      </c>
      <c r="H6" s="6">
        <v>44394</v>
      </c>
      <c r="I6" s="6">
        <v>43871</v>
      </c>
      <c r="J6" s="6">
        <v>46196</v>
      </c>
      <c r="K6" s="6">
        <v>48268</v>
      </c>
      <c r="L6" s="6">
        <v>50533</v>
      </c>
      <c r="M6" s="6">
        <v>50789</v>
      </c>
      <c r="N6" s="6">
        <v>547839</v>
      </c>
    </row>
    <row r="7" spans="1:14" x14ac:dyDescent="0.2">
      <c r="A7" s="5" t="s">
        <v>17</v>
      </c>
      <c r="B7" s="6">
        <v>15149</v>
      </c>
      <c r="C7" s="6">
        <v>15549</v>
      </c>
      <c r="D7" s="6">
        <v>16210</v>
      </c>
      <c r="E7" s="6">
        <v>16626</v>
      </c>
      <c r="F7" s="6">
        <v>15709</v>
      </c>
      <c r="G7" s="6">
        <v>15709</v>
      </c>
      <c r="H7" s="6">
        <v>16106</v>
      </c>
      <c r="I7" s="6">
        <v>16286</v>
      </c>
      <c r="J7" s="6">
        <v>16606</v>
      </c>
      <c r="K7" s="6">
        <v>17180</v>
      </c>
      <c r="L7" s="6">
        <v>18916</v>
      </c>
      <c r="M7" s="6">
        <v>19249</v>
      </c>
      <c r="N7" s="6">
        <v>199295</v>
      </c>
    </row>
    <row r="8" spans="1:14" x14ac:dyDescent="0.2">
      <c r="A8" s="5" t="s">
        <v>18</v>
      </c>
      <c r="B8" s="6">
        <v>15481</v>
      </c>
      <c r="C8" s="6">
        <v>15420</v>
      </c>
      <c r="D8" s="6">
        <v>15950</v>
      </c>
      <c r="E8" s="6">
        <v>17392</v>
      </c>
      <c r="F8" s="6">
        <v>16455</v>
      </c>
      <c r="G8" s="6">
        <v>15847</v>
      </c>
      <c r="H8" s="6">
        <v>16950</v>
      </c>
      <c r="I8" s="6">
        <v>16174</v>
      </c>
      <c r="J8" s="6">
        <v>16437</v>
      </c>
      <c r="K8" s="6">
        <v>17249</v>
      </c>
      <c r="L8" s="6">
        <v>18540</v>
      </c>
      <c r="M8" s="6">
        <v>18603</v>
      </c>
      <c r="N8" s="6">
        <v>200498</v>
      </c>
    </row>
    <row r="9" spans="1:14" x14ac:dyDescent="0.2">
      <c r="A9" s="5" t="s">
        <v>19</v>
      </c>
      <c r="B9" s="6">
        <v>3786</v>
      </c>
      <c r="C9" s="6">
        <v>3799</v>
      </c>
      <c r="D9" s="6">
        <v>4006</v>
      </c>
      <c r="E9" s="6">
        <v>4168</v>
      </c>
      <c r="F9" s="6">
        <v>4096</v>
      </c>
      <c r="G9" s="6">
        <v>3940</v>
      </c>
      <c r="H9" s="6">
        <v>4241</v>
      </c>
      <c r="I9" s="6">
        <v>3937</v>
      </c>
      <c r="J9" s="6">
        <v>4091</v>
      </c>
      <c r="K9" s="6">
        <v>4455</v>
      </c>
      <c r="L9" s="6">
        <v>4625</v>
      </c>
      <c r="M9" s="6">
        <v>4799</v>
      </c>
      <c r="N9" s="6">
        <v>49943</v>
      </c>
    </row>
    <row r="10" spans="1:14" x14ac:dyDescent="0.2">
      <c r="A10" s="7" t="s">
        <v>20</v>
      </c>
      <c r="B10" s="8">
        <v>76633</v>
      </c>
      <c r="C10" s="8">
        <v>75911</v>
      </c>
      <c r="D10" s="8">
        <v>82008</v>
      </c>
      <c r="E10" s="8">
        <v>85755</v>
      </c>
      <c r="F10" s="8">
        <v>80443</v>
      </c>
      <c r="G10" s="8">
        <v>78330</v>
      </c>
      <c r="H10" s="8">
        <v>81691</v>
      </c>
      <c r="I10" s="8">
        <v>80268</v>
      </c>
      <c r="J10" s="8">
        <v>83330</v>
      </c>
      <c r="K10" s="8">
        <v>87152</v>
      </c>
      <c r="L10" s="8">
        <v>92614</v>
      </c>
      <c r="M10" s="8">
        <v>93440</v>
      </c>
      <c r="N10" s="8">
        <v>997575</v>
      </c>
    </row>
    <row r="11" spans="1:14" x14ac:dyDescent="0.2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x14ac:dyDescent="0.2">
      <c r="A12" s="3" t="s">
        <v>21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">
      <c r="A13" s="5" t="s">
        <v>22</v>
      </c>
      <c r="B13" s="6">
        <v>19924</v>
      </c>
      <c r="C13" s="6">
        <v>19736</v>
      </c>
      <c r="D13" s="6">
        <v>21322</v>
      </c>
      <c r="E13" s="6">
        <v>22296</v>
      </c>
      <c r="F13" s="6">
        <v>20915</v>
      </c>
      <c r="G13" s="6">
        <v>20365</v>
      </c>
      <c r="H13" s="6">
        <v>21239</v>
      </c>
      <c r="I13" s="6">
        <v>20869</v>
      </c>
      <c r="J13" s="6">
        <v>21665</v>
      </c>
      <c r="K13" s="6">
        <v>22659</v>
      </c>
      <c r="L13" s="6">
        <v>24079</v>
      </c>
      <c r="M13" s="6">
        <v>24294</v>
      </c>
      <c r="N13" s="6">
        <v>259363</v>
      </c>
    </row>
    <row r="14" spans="1:14" x14ac:dyDescent="0.2">
      <c r="A14" s="5" t="s">
        <v>23</v>
      </c>
      <c r="B14" s="6">
        <v>13947</v>
      </c>
      <c r="C14" s="6">
        <v>13815</v>
      </c>
      <c r="D14" s="6">
        <v>14925</v>
      </c>
      <c r="E14" s="6">
        <v>15607</v>
      </c>
      <c r="F14" s="6">
        <v>14640</v>
      </c>
      <c r="G14" s="6">
        <v>14255</v>
      </c>
      <c r="H14" s="6">
        <v>14867</v>
      </c>
      <c r="I14" s="6">
        <v>14608</v>
      </c>
      <c r="J14" s="6">
        <v>15165</v>
      </c>
      <c r="K14" s="6">
        <v>15861</v>
      </c>
      <c r="L14" s="6">
        <v>16855</v>
      </c>
      <c r="M14" s="6">
        <v>17005</v>
      </c>
      <c r="N14" s="6">
        <v>181550</v>
      </c>
    </row>
    <row r="15" spans="1:14" x14ac:dyDescent="0.2">
      <c r="A15" s="5" t="s">
        <v>24</v>
      </c>
      <c r="B15" s="6">
        <v>5978</v>
      </c>
      <c r="C15" s="6">
        <v>5922</v>
      </c>
      <c r="D15" s="6">
        <v>6397</v>
      </c>
      <c r="E15" s="6">
        <v>6689</v>
      </c>
      <c r="F15" s="6">
        <v>6275</v>
      </c>
      <c r="G15" s="6">
        <v>6111</v>
      </c>
      <c r="H15" s="6">
        <v>6373</v>
      </c>
      <c r="I15" s="6">
        <v>6262</v>
      </c>
      <c r="J15" s="6">
        <v>6501</v>
      </c>
      <c r="K15" s="6">
        <v>6799</v>
      </c>
      <c r="L15" s="6">
        <v>7225</v>
      </c>
      <c r="M15" s="6">
        <v>7289</v>
      </c>
      <c r="N15" s="6">
        <v>77821</v>
      </c>
    </row>
    <row r="16" spans="1:14" ht="16" thickBot="1" x14ac:dyDescent="0.25">
      <c r="A16" s="7" t="s">
        <v>25</v>
      </c>
      <c r="B16" s="8">
        <v>39849</v>
      </c>
      <c r="C16" s="8">
        <v>39473</v>
      </c>
      <c r="D16" s="8">
        <v>42644</v>
      </c>
      <c r="E16" s="8">
        <v>44592</v>
      </c>
      <c r="F16" s="8">
        <v>41830</v>
      </c>
      <c r="G16" s="8">
        <v>40731</v>
      </c>
      <c r="H16" s="8">
        <v>42479</v>
      </c>
      <c r="I16" s="8">
        <v>41739</v>
      </c>
      <c r="J16" s="8">
        <v>43331</v>
      </c>
      <c r="K16" s="8">
        <v>45319</v>
      </c>
      <c r="L16" s="8">
        <v>48159</v>
      </c>
      <c r="M16" s="8">
        <v>48588</v>
      </c>
      <c r="N16" s="8">
        <v>518734</v>
      </c>
    </row>
    <row r="17" spans="1:16" x14ac:dyDescent="0.2">
      <c r="A17" s="10" t="s">
        <v>26</v>
      </c>
      <c r="B17" s="20">
        <f>B16/B10</f>
        <v>0.51999791212662949</v>
      </c>
      <c r="C17" s="20">
        <f t="shared" ref="C17:N17" si="0">C16/C10</f>
        <v>0.51999051520859951</v>
      </c>
      <c r="D17" s="20">
        <f t="shared" si="0"/>
        <v>0.51999804897083213</v>
      </c>
      <c r="E17" s="20">
        <f t="shared" si="0"/>
        <v>0.51999300332342135</v>
      </c>
      <c r="F17" s="20">
        <f t="shared" si="0"/>
        <v>0.51999552478152233</v>
      </c>
      <c r="G17" s="20">
        <f t="shared" si="0"/>
        <v>0.51999234009957873</v>
      </c>
      <c r="H17" s="20">
        <f t="shared" si="0"/>
        <v>0.51999608279981879</v>
      </c>
      <c r="I17" s="20">
        <f t="shared" si="0"/>
        <v>0.51999551502466734</v>
      </c>
      <c r="J17" s="20">
        <f t="shared" si="0"/>
        <v>0.51999279971198853</v>
      </c>
      <c r="K17" s="20">
        <f t="shared" si="0"/>
        <v>0.5199995410317606</v>
      </c>
      <c r="L17" s="20">
        <f t="shared" si="0"/>
        <v>0.51999697669898715</v>
      </c>
      <c r="M17" s="20">
        <f t="shared" si="0"/>
        <v>0.51999143835616435</v>
      </c>
      <c r="N17" s="20">
        <f t="shared" si="0"/>
        <v>0.51999498784552545</v>
      </c>
    </row>
    <row r="18" spans="1:16" x14ac:dyDescent="0.2">
      <c r="A18" s="10" t="s">
        <v>105</v>
      </c>
      <c r="B18" s="22">
        <f>B10/B16</f>
        <v>1.9230846445331125</v>
      </c>
      <c r="C18" s="22">
        <f t="shared" ref="C18:N18" si="1">C10/C16</f>
        <v>1.9231120006080105</v>
      </c>
      <c r="D18" s="22">
        <f t="shared" si="1"/>
        <v>1.9230841384485509</v>
      </c>
      <c r="E18" s="22">
        <f t="shared" si="1"/>
        <v>1.9231027987082885</v>
      </c>
      <c r="F18" s="22">
        <f t="shared" si="1"/>
        <v>1.9230934735835525</v>
      </c>
      <c r="G18" s="22">
        <f t="shared" si="1"/>
        <v>1.92310525152832</v>
      </c>
      <c r="H18" s="22">
        <f t="shared" si="1"/>
        <v>1.9230914098731138</v>
      </c>
      <c r="I18" s="22">
        <f t="shared" si="1"/>
        <v>1.9230935096672177</v>
      </c>
      <c r="J18" s="22">
        <f t="shared" si="1"/>
        <v>1.9231035517297086</v>
      </c>
      <c r="K18" s="22">
        <f t="shared" si="1"/>
        <v>1.9230786204461705</v>
      </c>
      <c r="L18" s="22">
        <f t="shared" si="1"/>
        <v>1.9230881039888701</v>
      </c>
      <c r="M18" s="22">
        <f t="shared" si="1"/>
        <v>1.923108586482259</v>
      </c>
      <c r="N18" s="22">
        <f t="shared" si="1"/>
        <v>1.9230954593298299</v>
      </c>
      <c r="O18" s="22">
        <f>N16 * 'BWA Nowak'!N18</f>
        <v>1080725.9665402169</v>
      </c>
      <c r="P18" s="23">
        <f>O18/N10 - 1</f>
        <v>8.3353097802387754E-2</v>
      </c>
    </row>
    <row r="19" spans="1:16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6" x14ac:dyDescent="0.2">
      <c r="A20" s="3" t="s">
        <v>27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6" x14ac:dyDescent="0.2">
      <c r="A21" s="5" t="s">
        <v>28</v>
      </c>
      <c r="B21" s="6">
        <v>4829</v>
      </c>
      <c r="C21" s="6">
        <v>4676</v>
      </c>
      <c r="D21" s="6">
        <v>4842</v>
      </c>
      <c r="E21" s="6">
        <v>4687</v>
      </c>
      <c r="F21" s="6">
        <v>4800</v>
      </c>
      <c r="G21" s="6">
        <v>4664</v>
      </c>
      <c r="H21" s="6">
        <v>4747</v>
      </c>
      <c r="I21" s="6">
        <v>4889</v>
      </c>
      <c r="J21" s="6">
        <v>4889</v>
      </c>
      <c r="K21" s="6">
        <v>4901</v>
      </c>
      <c r="L21" s="6">
        <v>4800</v>
      </c>
      <c r="M21" s="6">
        <v>4739</v>
      </c>
      <c r="N21" s="6">
        <v>57463</v>
      </c>
    </row>
    <row r="22" spans="1:16" x14ac:dyDescent="0.2">
      <c r="A22" s="5" t="s">
        <v>29</v>
      </c>
      <c r="B22" s="6">
        <v>2223</v>
      </c>
      <c r="C22" s="6">
        <v>2261</v>
      </c>
      <c r="D22" s="6">
        <v>2263</v>
      </c>
      <c r="E22" s="6">
        <v>2156</v>
      </c>
      <c r="F22" s="6">
        <v>2156</v>
      </c>
      <c r="G22" s="6">
        <v>2166</v>
      </c>
      <c r="H22" s="6">
        <v>2179</v>
      </c>
      <c r="I22" s="6">
        <v>2147</v>
      </c>
      <c r="J22" s="6">
        <v>2144</v>
      </c>
      <c r="K22" s="6">
        <v>2151</v>
      </c>
      <c r="L22" s="6">
        <v>2250</v>
      </c>
      <c r="M22" s="6">
        <v>2149</v>
      </c>
      <c r="N22" s="6">
        <v>26245</v>
      </c>
    </row>
    <row r="23" spans="1:16" x14ac:dyDescent="0.2">
      <c r="A23" s="5" t="s">
        <v>30</v>
      </c>
      <c r="B23" s="6">
        <v>3906</v>
      </c>
      <c r="C23" s="6">
        <v>3829</v>
      </c>
      <c r="D23" s="6">
        <v>3730</v>
      </c>
      <c r="E23" s="6">
        <v>3824</v>
      </c>
      <c r="F23" s="6">
        <v>3874</v>
      </c>
      <c r="G23" s="6">
        <v>3847</v>
      </c>
      <c r="H23" s="6">
        <v>3855</v>
      </c>
      <c r="I23" s="6">
        <v>3784</v>
      </c>
      <c r="J23" s="6">
        <v>3862</v>
      </c>
      <c r="K23" s="6">
        <v>3773</v>
      </c>
      <c r="L23" s="6">
        <v>3846</v>
      </c>
      <c r="M23" s="6">
        <v>3851</v>
      </c>
      <c r="N23" s="6">
        <v>45981</v>
      </c>
    </row>
    <row r="24" spans="1:16" x14ac:dyDescent="0.2">
      <c r="A24" s="5" t="s">
        <v>31</v>
      </c>
      <c r="B24" s="6">
        <v>890</v>
      </c>
      <c r="C24" s="6">
        <v>901</v>
      </c>
      <c r="D24" s="6">
        <v>921</v>
      </c>
      <c r="E24" s="6">
        <v>886</v>
      </c>
      <c r="F24" s="6">
        <v>919</v>
      </c>
      <c r="G24" s="6">
        <v>924</v>
      </c>
      <c r="H24" s="6">
        <v>921</v>
      </c>
      <c r="I24" s="6">
        <v>887</v>
      </c>
      <c r="J24" s="6">
        <v>875</v>
      </c>
      <c r="K24" s="6">
        <v>901</v>
      </c>
      <c r="L24" s="6">
        <v>892</v>
      </c>
      <c r="M24" s="6">
        <v>906</v>
      </c>
      <c r="N24" s="6">
        <v>10823</v>
      </c>
    </row>
    <row r="25" spans="1:16" x14ac:dyDescent="0.2">
      <c r="A25" s="5" t="s">
        <v>32</v>
      </c>
      <c r="B25" s="6">
        <v>588</v>
      </c>
      <c r="C25" s="6">
        <v>583</v>
      </c>
      <c r="D25" s="6">
        <v>616</v>
      </c>
      <c r="E25" s="6">
        <v>610</v>
      </c>
      <c r="F25" s="6">
        <v>599</v>
      </c>
      <c r="G25" s="6">
        <v>588</v>
      </c>
      <c r="H25" s="6">
        <v>605</v>
      </c>
      <c r="I25" s="6">
        <v>599</v>
      </c>
      <c r="J25" s="6">
        <v>606</v>
      </c>
      <c r="K25" s="6">
        <v>616</v>
      </c>
      <c r="L25" s="6">
        <v>592</v>
      </c>
      <c r="M25" s="6">
        <v>583</v>
      </c>
      <c r="N25" s="6">
        <v>7185</v>
      </c>
    </row>
    <row r="26" spans="1:16" x14ac:dyDescent="0.2">
      <c r="A26" s="5" t="s">
        <v>33</v>
      </c>
      <c r="B26" s="6">
        <v>396</v>
      </c>
      <c r="C26" s="6">
        <v>393</v>
      </c>
      <c r="D26" s="6">
        <v>389</v>
      </c>
      <c r="E26" s="6">
        <v>395</v>
      </c>
      <c r="F26" s="6">
        <v>403</v>
      </c>
      <c r="G26" s="6">
        <v>392</v>
      </c>
      <c r="H26" s="6">
        <v>405</v>
      </c>
      <c r="I26" s="6">
        <v>396</v>
      </c>
      <c r="J26" s="6">
        <v>395</v>
      </c>
      <c r="K26" s="6">
        <v>403</v>
      </c>
      <c r="L26" s="6">
        <v>403</v>
      </c>
      <c r="M26" s="6">
        <v>392</v>
      </c>
      <c r="N26" s="6">
        <v>4762</v>
      </c>
    </row>
    <row r="27" spans="1:16" x14ac:dyDescent="0.2">
      <c r="A27" s="5" t="s">
        <v>34</v>
      </c>
      <c r="B27" s="6">
        <v>198</v>
      </c>
      <c r="C27" s="6">
        <v>202</v>
      </c>
      <c r="D27" s="6">
        <v>202</v>
      </c>
      <c r="E27" s="6">
        <v>202</v>
      </c>
      <c r="F27" s="6">
        <v>202</v>
      </c>
      <c r="G27" s="6">
        <v>198</v>
      </c>
      <c r="H27" s="6">
        <v>203</v>
      </c>
      <c r="I27" s="6">
        <v>203</v>
      </c>
      <c r="J27" s="6">
        <v>197</v>
      </c>
      <c r="K27" s="6">
        <v>204</v>
      </c>
      <c r="L27" s="6">
        <v>200</v>
      </c>
      <c r="M27" s="6">
        <v>198</v>
      </c>
      <c r="N27" s="6">
        <v>2409</v>
      </c>
    </row>
    <row r="28" spans="1:16" x14ac:dyDescent="0.2">
      <c r="A28" s="5" t="s">
        <v>35</v>
      </c>
      <c r="B28" s="6">
        <v>510</v>
      </c>
      <c r="C28" s="6">
        <v>493</v>
      </c>
      <c r="D28" s="6">
        <v>493</v>
      </c>
      <c r="E28" s="6">
        <v>500</v>
      </c>
      <c r="F28" s="6">
        <v>486</v>
      </c>
      <c r="G28" s="6">
        <v>486</v>
      </c>
      <c r="H28" s="6">
        <v>505</v>
      </c>
      <c r="I28" s="6">
        <v>513</v>
      </c>
      <c r="J28" s="6">
        <v>505</v>
      </c>
      <c r="K28" s="6">
        <v>505</v>
      </c>
      <c r="L28" s="6">
        <v>490</v>
      </c>
      <c r="M28" s="6">
        <v>485</v>
      </c>
      <c r="N28" s="6">
        <v>5971</v>
      </c>
    </row>
    <row r="29" spans="1:16" ht="16" thickBot="1" x14ac:dyDescent="0.25">
      <c r="A29" s="5" t="s">
        <v>36</v>
      </c>
      <c r="B29" s="6">
        <v>788</v>
      </c>
      <c r="C29" s="6">
        <v>783</v>
      </c>
      <c r="D29" s="6">
        <v>799</v>
      </c>
      <c r="E29" s="6">
        <v>815</v>
      </c>
      <c r="F29" s="6">
        <v>778</v>
      </c>
      <c r="G29" s="6">
        <v>802</v>
      </c>
      <c r="H29" s="6">
        <v>779</v>
      </c>
      <c r="I29" s="6">
        <v>809</v>
      </c>
      <c r="J29" s="6">
        <v>795</v>
      </c>
      <c r="K29" s="6">
        <v>776</v>
      </c>
      <c r="L29" s="6">
        <v>793</v>
      </c>
      <c r="M29" s="6">
        <v>790</v>
      </c>
      <c r="N29" s="6">
        <v>9507</v>
      </c>
    </row>
    <row r="30" spans="1:16" ht="16" thickBot="1" x14ac:dyDescent="0.25">
      <c r="A30" s="7" t="s">
        <v>37</v>
      </c>
      <c r="B30" s="8">
        <v>14328</v>
      </c>
      <c r="C30" s="8">
        <v>14121</v>
      </c>
      <c r="D30" s="8">
        <v>14255</v>
      </c>
      <c r="E30" s="8">
        <v>14075</v>
      </c>
      <c r="F30" s="8">
        <v>14217</v>
      </c>
      <c r="G30" s="8">
        <v>14067</v>
      </c>
      <c r="H30" s="8">
        <v>14199</v>
      </c>
      <c r="I30" s="8">
        <v>14227</v>
      </c>
      <c r="J30" s="8">
        <v>14268</v>
      </c>
      <c r="K30" s="8">
        <v>14230</v>
      </c>
      <c r="L30" s="8">
        <v>14266</v>
      </c>
      <c r="M30" s="8">
        <v>14093</v>
      </c>
      <c r="N30" s="8">
        <v>170346</v>
      </c>
    </row>
    <row r="31" spans="1:16" x14ac:dyDescent="0.2">
      <c r="A31" s="10" t="s">
        <v>26</v>
      </c>
      <c r="B31" s="21">
        <f>B30/B10</f>
        <v>0.18696906032649119</v>
      </c>
      <c r="C31" s="21">
        <f t="shared" ref="C31:N31" si="2">C30/C10</f>
        <v>0.18602047134143931</v>
      </c>
      <c r="D31" s="21">
        <f t="shared" si="2"/>
        <v>0.17382450492634866</v>
      </c>
      <c r="E31" s="21">
        <f t="shared" si="2"/>
        <v>0.16413037140691505</v>
      </c>
      <c r="F31" s="21">
        <f t="shared" si="2"/>
        <v>0.17673383638103998</v>
      </c>
      <c r="G31" s="21">
        <f t="shared" si="2"/>
        <v>0.17958636537725009</v>
      </c>
      <c r="H31" s="21">
        <f t="shared" si="2"/>
        <v>0.17381351678887516</v>
      </c>
      <c r="I31" s="21">
        <f t="shared" si="2"/>
        <v>0.17724373349279912</v>
      </c>
      <c r="J31" s="21">
        <f t="shared" si="2"/>
        <v>0.17122284891395656</v>
      </c>
      <c r="K31" s="21">
        <f t="shared" si="2"/>
        <v>0.16327795116577934</v>
      </c>
      <c r="L31" s="21">
        <f t="shared" si="2"/>
        <v>0.15403718660245752</v>
      </c>
      <c r="M31" s="21">
        <f t="shared" si="2"/>
        <v>0.15082405821917808</v>
      </c>
      <c r="N31" s="21">
        <f t="shared" si="2"/>
        <v>0.17076009322607322</v>
      </c>
      <c r="O31" s="24">
        <f>M30/'Kanzlei-Profil'!B6</f>
        <v>880.8125</v>
      </c>
    </row>
    <row r="32" spans="1:16" ht="16" thickBot="1" x14ac:dyDescent="0.25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ht="16" thickBot="1" x14ac:dyDescent="0.25">
      <c r="A33" s="7" t="s">
        <v>38</v>
      </c>
      <c r="B33" s="8">
        <v>22456</v>
      </c>
      <c r="C33" s="8">
        <v>22317</v>
      </c>
      <c r="D33" s="8">
        <v>25109</v>
      </c>
      <c r="E33" s="8">
        <v>27088</v>
      </c>
      <c r="F33" s="8">
        <v>24396</v>
      </c>
      <c r="G33" s="8">
        <v>23532</v>
      </c>
      <c r="H33" s="8">
        <v>25013</v>
      </c>
      <c r="I33" s="8">
        <v>24302</v>
      </c>
      <c r="J33" s="8">
        <v>25731</v>
      </c>
      <c r="K33" s="8">
        <v>27603</v>
      </c>
      <c r="L33" s="8">
        <v>30189</v>
      </c>
      <c r="M33" s="8">
        <v>30759</v>
      </c>
      <c r="N33" s="8">
        <v>308495</v>
      </c>
    </row>
    <row r="34" spans="1:14" x14ac:dyDescent="0.2">
      <c r="A34" s="10" t="s">
        <v>39</v>
      </c>
      <c r="B34" s="12">
        <v>0.29303302754687932</v>
      </c>
      <c r="C34" s="12">
        <v>0.29398901344996109</v>
      </c>
      <c r="D34" s="12">
        <v>0.30617744610281922</v>
      </c>
      <c r="E34" s="12">
        <v>0.31587662526966359</v>
      </c>
      <c r="F34" s="12">
        <v>0.30327063883743771</v>
      </c>
      <c r="G34" s="12">
        <v>0.30042129452317118</v>
      </c>
      <c r="H34" s="12">
        <v>0.30619040041130602</v>
      </c>
      <c r="I34" s="12">
        <v>0.30276075148253351</v>
      </c>
      <c r="J34" s="12">
        <v>0.30878435137405502</v>
      </c>
      <c r="K34" s="12">
        <v>0.31672250780246008</v>
      </c>
      <c r="L34" s="12">
        <v>0.32596583669855528</v>
      </c>
      <c r="M34" s="12">
        <v>0.32918450342465749</v>
      </c>
      <c r="N34" s="11">
        <v>0.30924491892840139</v>
      </c>
    </row>
    <row r="35" spans="1:14" x14ac:dyDescent="0.2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ht="16" thickBot="1" x14ac:dyDescent="0.25">
      <c r="A36" s="5" t="s">
        <v>40</v>
      </c>
      <c r="B36" s="6">
        <v>1164</v>
      </c>
      <c r="C36" s="6">
        <v>1169</v>
      </c>
      <c r="D36" s="6">
        <v>1233</v>
      </c>
      <c r="E36" s="6">
        <v>1184</v>
      </c>
      <c r="F36" s="6">
        <v>1169</v>
      </c>
      <c r="G36" s="6">
        <v>1185</v>
      </c>
      <c r="H36" s="6">
        <v>1172</v>
      </c>
      <c r="I36" s="6">
        <v>1217</v>
      </c>
      <c r="J36" s="6">
        <v>1170</v>
      </c>
      <c r="K36" s="6">
        <v>1228</v>
      </c>
      <c r="L36" s="6">
        <v>1200</v>
      </c>
      <c r="M36" s="6">
        <v>1206</v>
      </c>
      <c r="N36" s="6">
        <v>14297</v>
      </c>
    </row>
    <row r="37" spans="1:14" ht="16" thickBot="1" x14ac:dyDescent="0.25">
      <c r="A37" s="7" t="s">
        <v>41</v>
      </c>
      <c r="B37" s="8">
        <v>21292</v>
      </c>
      <c r="C37" s="8">
        <v>21148</v>
      </c>
      <c r="D37" s="8">
        <v>23876</v>
      </c>
      <c r="E37" s="8">
        <v>25904</v>
      </c>
      <c r="F37" s="8">
        <v>23227</v>
      </c>
      <c r="G37" s="8">
        <v>22347</v>
      </c>
      <c r="H37" s="8">
        <v>23841</v>
      </c>
      <c r="I37" s="8">
        <v>23085</v>
      </c>
      <c r="J37" s="8">
        <v>24561</v>
      </c>
      <c r="K37" s="8">
        <v>26375</v>
      </c>
      <c r="L37" s="8">
        <v>28989</v>
      </c>
      <c r="M37" s="8">
        <v>29553</v>
      </c>
      <c r="N37" s="8">
        <v>294198</v>
      </c>
    </row>
    <row r="38" spans="1:14" x14ac:dyDescent="0.2">
      <c r="A38" s="10" t="s">
        <v>42</v>
      </c>
      <c r="B38" s="12">
        <v>0.2778437487766367</v>
      </c>
      <c r="C38" s="12">
        <v>0.27858940074561001</v>
      </c>
      <c r="D38" s="12">
        <v>0.29114232757779729</v>
      </c>
      <c r="E38" s="12">
        <v>0.30206985015450988</v>
      </c>
      <c r="F38" s="12">
        <v>0.28873860994741618</v>
      </c>
      <c r="G38" s="12">
        <v>0.28529299119111451</v>
      </c>
      <c r="H38" s="12">
        <v>0.29184365474776902</v>
      </c>
      <c r="I38" s="12">
        <v>0.28759904320526242</v>
      </c>
      <c r="J38" s="12">
        <v>0.29474378975158999</v>
      </c>
      <c r="K38" s="12">
        <v>0.30263218285294657</v>
      </c>
      <c r="L38" s="12">
        <v>0.31300883235795879</v>
      </c>
      <c r="M38" s="12">
        <v>0.31627782534246568</v>
      </c>
      <c r="N38" s="11">
        <v>0.29491316442372761</v>
      </c>
    </row>
    <row r="39" spans="1:14" x14ac:dyDescent="0.2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ht="16" thickBot="1" x14ac:dyDescent="0.25">
      <c r="A40" s="5" t="s">
        <v>43</v>
      </c>
      <c r="B40" s="6">
        <v>151</v>
      </c>
      <c r="C40" s="6">
        <v>152</v>
      </c>
      <c r="D40" s="6">
        <v>148</v>
      </c>
      <c r="E40" s="6">
        <v>151</v>
      </c>
      <c r="F40" s="6">
        <v>146</v>
      </c>
      <c r="G40" s="6">
        <v>150</v>
      </c>
      <c r="H40" s="6">
        <v>150</v>
      </c>
      <c r="I40" s="6">
        <v>148</v>
      </c>
      <c r="J40" s="6">
        <v>149</v>
      </c>
      <c r="K40" s="6">
        <v>152</v>
      </c>
      <c r="L40" s="6">
        <v>154</v>
      </c>
      <c r="M40" s="6">
        <v>151</v>
      </c>
      <c r="N40" s="6">
        <v>1802</v>
      </c>
    </row>
    <row r="41" spans="1:14" ht="16" thickBot="1" x14ac:dyDescent="0.25">
      <c r="A41" s="7" t="s">
        <v>44</v>
      </c>
      <c r="B41" s="8">
        <v>21141</v>
      </c>
      <c r="C41" s="8">
        <v>20996</v>
      </c>
      <c r="D41" s="8">
        <v>23728</v>
      </c>
      <c r="E41" s="8">
        <v>25753</v>
      </c>
      <c r="F41" s="8">
        <v>23081</v>
      </c>
      <c r="G41" s="8">
        <v>22197</v>
      </c>
      <c r="H41" s="8">
        <v>23691</v>
      </c>
      <c r="I41" s="8">
        <v>22937</v>
      </c>
      <c r="J41" s="8">
        <v>24412</v>
      </c>
      <c r="K41" s="8">
        <v>26223</v>
      </c>
      <c r="L41" s="8">
        <v>28835</v>
      </c>
      <c r="M41" s="8">
        <v>29402</v>
      </c>
      <c r="N41" s="8">
        <v>292396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topLeftCell="A2" workbookViewId="0">
      <selection activeCell="O20" sqref="O20"/>
    </sheetView>
  </sheetViews>
  <sheetFormatPr baseColWidth="10" defaultColWidth="8.83203125" defaultRowHeight="15" x14ac:dyDescent="0.2"/>
  <cols>
    <col min="1" max="1" width="35" customWidth="1"/>
    <col min="2" max="14" width="13" customWidth="1"/>
    <col min="15" max="15" width="14" bestFit="1" customWidth="1"/>
  </cols>
  <sheetData>
    <row r="1" spans="1:14" ht="18" x14ac:dyDescent="0.2">
      <c r="A1" s="17" t="s">
        <v>45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3" spans="1:14" x14ac:dyDescent="0.2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5" spans="1:14" x14ac:dyDescent="0.2">
      <c r="A5" s="3" t="s">
        <v>15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">
      <c r="A6" s="5" t="s">
        <v>16</v>
      </c>
      <c r="B6" s="6">
        <v>56721</v>
      </c>
      <c r="C6" s="6">
        <v>54117</v>
      </c>
      <c r="D6" s="6">
        <v>61166</v>
      </c>
      <c r="E6" s="6">
        <v>61059</v>
      </c>
      <c r="F6" s="6">
        <v>60157</v>
      </c>
      <c r="G6" s="6">
        <v>56172</v>
      </c>
      <c r="H6" s="6">
        <v>56629</v>
      </c>
      <c r="I6" s="6">
        <v>57088</v>
      </c>
      <c r="J6" s="6">
        <v>59099</v>
      </c>
      <c r="K6" s="6">
        <v>62210</v>
      </c>
      <c r="L6" s="6">
        <v>66378</v>
      </c>
      <c r="M6" s="6">
        <v>67109</v>
      </c>
      <c r="N6" s="6">
        <v>717905</v>
      </c>
    </row>
    <row r="7" spans="1:14" x14ac:dyDescent="0.2">
      <c r="A7" s="5" t="s">
        <v>17</v>
      </c>
      <c r="B7" s="6">
        <v>20374</v>
      </c>
      <c r="C7" s="6">
        <v>19879</v>
      </c>
      <c r="D7" s="6">
        <v>21370</v>
      </c>
      <c r="E7" s="6">
        <v>22026</v>
      </c>
      <c r="F7" s="6">
        <v>21323</v>
      </c>
      <c r="G7" s="6">
        <v>20373</v>
      </c>
      <c r="H7" s="6">
        <v>21281</v>
      </c>
      <c r="I7" s="6">
        <v>20424</v>
      </c>
      <c r="J7" s="6">
        <v>21602</v>
      </c>
      <c r="K7" s="6">
        <v>23445</v>
      </c>
      <c r="L7" s="6">
        <v>24302</v>
      </c>
      <c r="M7" s="6">
        <v>24732</v>
      </c>
      <c r="N7" s="6">
        <v>261131</v>
      </c>
    </row>
    <row r="8" spans="1:14" x14ac:dyDescent="0.2">
      <c r="A8" s="5" t="s">
        <v>18</v>
      </c>
      <c r="B8" s="6">
        <v>21300</v>
      </c>
      <c r="C8" s="6">
        <v>19312</v>
      </c>
      <c r="D8" s="6">
        <v>21407</v>
      </c>
      <c r="E8" s="6">
        <v>22140</v>
      </c>
      <c r="F8" s="6">
        <v>21982</v>
      </c>
      <c r="G8" s="6">
        <v>20259</v>
      </c>
      <c r="H8" s="6">
        <v>21650</v>
      </c>
      <c r="I8" s="6">
        <v>20635</v>
      </c>
      <c r="J8" s="6">
        <v>21837</v>
      </c>
      <c r="K8" s="6">
        <v>23169</v>
      </c>
      <c r="L8" s="6">
        <v>23263</v>
      </c>
      <c r="M8" s="6">
        <v>23761</v>
      </c>
      <c r="N8" s="6">
        <v>260715</v>
      </c>
    </row>
    <row r="9" spans="1:14" x14ac:dyDescent="0.2">
      <c r="A9" s="5" t="s">
        <v>19</v>
      </c>
      <c r="B9" s="6">
        <v>5305</v>
      </c>
      <c r="C9" s="6">
        <v>4949</v>
      </c>
      <c r="D9" s="6">
        <v>5354</v>
      </c>
      <c r="E9" s="6">
        <v>5687</v>
      </c>
      <c r="F9" s="6">
        <v>5371</v>
      </c>
      <c r="G9" s="6">
        <v>5235</v>
      </c>
      <c r="H9" s="6">
        <v>5421</v>
      </c>
      <c r="I9" s="6">
        <v>5102</v>
      </c>
      <c r="J9" s="6">
        <v>5360</v>
      </c>
      <c r="K9" s="6">
        <v>5888</v>
      </c>
      <c r="L9" s="6">
        <v>5754</v>
      </c>
      <c r="M9" s="6">
        <v>5919</v>
      </c>
      <c r="N9" s="6">
        <v>65345</v>
      </c>
    </row>
    <row r="10" spans="1:14" x14ac:dyDescent="0.2">
      <c r="A10" s="7" t="s">
        <v>20</v>
      </c>
      <c r="B10" s="8">
        <v>103700</v>
      </c>
      <c r="C10" s="8">
        <v>98257</v>
      </c>
      <c r="D10" s="8">
        <v>109297</v>
      </c>
      <c r="E10" s="8">
        <v>110912</v>
      </c>
      <c r="F10" s="8">
        <v>108833</v>
      </c>
      <c r="G10" s="8">
        <v>102039</v>
      </c>
      <c r="H10" s="8">
        <v>104981</v>
      </c>
      <c r="I10" s="8">
        <v>103249</v>
      </c>
      <c r="J10" s="8">
        <v>107898</v>
      </c>
      <c r="K10" s="8">
        <v>114712</v>
      </c>
      <c r="L10" s="8">
        <v>119697</v>
      </c>
      <c r="M10" s="8">
        <v>121521</v>
      </c>
      <c r="N10" s="8">
        <v>1305096</v>
      </c>
    </row>
    <row r="11" spans="1:14" x14ac:dyDescent="0.2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x14ac:dyDescent="0.2">
      <c r="A12" s="3" t="s">
        <v>21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">
      <c r="A13" s="5" t="s">
        <v>22</v>
      </c>
      <c r="B13" s="6">
        <v>32665</v>
      </c>
      <c r="C13" s="6">
        <v>30950</v>
      </c>
      <c r="D13" s="6">
        <v>34428</v>
      </c>
      <c r="E13" s="6">
        <v>34937</v>
      </c>
      <c r="F13" s="6">
        <v>34282</v>
      </c>
      <c r="G13" s="6">
        <v>32142</v>
      </c>
      <c r="H13" s="6">
        <v>33069</v>
      </c>
      <c r="I13" s="6">
        <v>32523</v>
      </c>
      <c r="J13" s="6">
        <v>33987</v>
      </c>
      <c r="K13" s="6">
        <v>36134</v>
      </c>
      <c r="L13" s="6">
        <v>37704</v>
      </c>
      <c r="M13" s="6">
        <v>38279</v>
      </c>
      <c r="N13" s="6">
        <v>411100</v>
      </c>
    </row>
    <row r="14" spans="1:14" x14ac:dyDescent="0.2">
      <c r="A14" s="5" t="s">
        <v>23</v>
      </c>
      <c r="B14" s="6">
        <v>22865</v>
      </c>
      <c r="C14" s="6">
        <v>21665</v>
      </c>
      <c r="D14" s="6">
        <v>24099</v>
      </c>
      <c r="E14" s="6">
        <v>24455</v>
      </c>
      <c r="F14" s="6">
        <v>23997</v>
      </c>
      <c r="G14" s="6">
        <v>22499</v>
      </c>
      <c r="H14" s="6">
        <v>23148</v>
      </c>
      <c r="I14" s="6">
        <v>22766</v>
      </c>
      <c r="J14" s="6">
        <v>23791</v>
      </c>
      <c r="K14" s="6">
        <v>25293</v>
      </c>
      <c r="L14" s="6">
        <v>26393</v>
      </c>
      <c r="M14" s="6">
        <v>26795</v>
      </c>
      <c r="N14" s="6">
        <v>287766</v>
      </c>
    </row>
    <row r="15" spans="1:14" x14ac:dyDescent="0.2">
      <c r="A15" s="5" t="s">
        <v>24</v>
      </c>
      <c r="B15" s="6">
        <v>9801</v>
      </c>
      <c r="C15" s="6">
        <v>9286</v>
      </c>
      <c r="D15" s="6">
        <v>10330</v>
      </c>
      <c r="E15" s="6">
        <v>10482</v>
      </c>
      <c r="F15" s="6">
        <v>10285</v>
      </c>
      <c r="G15" s="6">
        <v>9643</v>
      </c>
      <c r="H15" s="6">
        <v>9921</v>
      </c>
      <c r="I15" s="6">
        <v>9757</v>
      </c>
      <c r="J15" s="6">
        <v>10197</v>
      </c>
      <c r="K15" s="6">
        <v>10841</v>
      </c>
      <c r="L15" s="6">
        <v>11312</v>
      </c>
      <c r="M15" s="6">
        <v>11484</v>
      </c>
      <c r="N15" s="6">
        <v>123339</v>
      </c>
    </row>
    <row r="16" spans="1:14" x14ac:dyDescent="0.2">
      <c r="A16" s="7" t="s">
        <v>25</v>
      </c>
      <c r="B16" s="8">
        <v>65331</v>
      </c>
      <c r="C16" s="8">
        <v>61901</v>
      </c>
      <c r="D16" s="8">
        <v>68857</v>
      </c>
      <c r="E16" s="8">
        <v>69874</v>
      </c>
      <c r="F16" s="8">
        <v>68564</v>
      </c>
      <c r="G16" s="8">
        <v>64284</v>
      </c>
      <c r="H16" s="8">
        <v>66138</v>
      </c>
      <c r="I16" s="8">
        <v>65046</v>
      </c>
      <c r="J16" s="8">
        <v>67975</v>
      </c>
      <c r="K16" s="8">
        <v>72268</v>
      </c>
      <c r="L16" s="8">
        <v>75409</v>
      </c>
      <c r="M16" s="8">
        <v>76558</v>
      </c>
      <c r="N16" s="8">
        <v>822205</v>
      </c>
    </row>
    <row r="17" spans="1:16" x14ac:dyDescent="0.2">
      <c r="A17" s="10" t="s">
        <v>26</v>
      </c>
      <c r="B17" s="20">
        <f>B16/B10</f>
        <v>0.63</v>
      </c>
      <c r="C17" s="20">
        <f t="shared" ref="C17:N17" si="0">C16/C10</f>
        <v>0.62999073857333321</v>
      </c>
      <c r="D17" s="20">
        <f t="shared" si="0"/>
        <v>0.6299989935679845</v>
      </c>
      <c r="E17" s="20">
        <f t="shared" si="0"/>
        <v>0.62999495095210623</v>
      </c>
      <c r="F17" s="20">
        <f t="shared" si="0"/>
        <v>0.62999274117225479</v>
      </c>
      <c r="G17" s="20">
        <f t="shared" si="0"/>
        <v>0.62999441390056743</v>
      </c>
      <c r="H17" s="20">
        <f t="shared" si="0"/>
        <v>0.62999971423400425</v>
      </c>
      <c r="I17" s="20">
        <f t="shared" si="0"/>
        <v>0.62999157376826898</v>
      </c>
      <c r="J17" s="20">
        <f t="shared" si="0"/>
        <v>0.62999314167083731</v>
      </c>
      <c r="K17" s="20">
        <f t="shared" si="0"/>
        <v>0.62999511820908016</v>
      </c>
      <c r="L17" s="20">
        <f t="shared" si="0"/>
        <v>0.62999908101289093</v>
      </c>
      <c r="M17" s="20">
        <f t="shared" si="0"/>
        <v>0.62999810732301409</v>
      </c>
      <c r="N17" s="20">
        <f t="shared" si="0"/>
        <v>0.62999580107516995</v>
      </c>
    </row>
    <row r="18" spans="1:16" x14ac:dyDescent="0.2">
      <c r="A18" s="10" t="s">
        <v>105</v>
      </c>
      <c r="B18" s="22">
        <f>B10/B16</f>
        <v>1.5873015873015872</v>
      </c>
      <c r="C18" s="22">
        <f t="shared" ref="C18:N18" si="1">C10/C16</f>
        <v>1.5873249220529555</v>
      </c>
      <c r="D18" s="22">
        <f t="shared" si="1"/>
        <v>1.5873041230375997</v>
      </c>
      <c r="E18" s="22">
        <f t="shared" si="1"/>
        <v>1.5873143086126456</v>
      </c>
      <c r="F18" s="22">
        <f t="shared" si="1"/>
        <v>1.5873198763199348</v>
      </c>
      <c r="G18" s="22">
        <f t="shared" si="1"/>
        <v>1.58731566175098</v>
      </c>
      <c r="H18" s="22">
        <f t="shared" si="1"/>
        <v>1.5873023072968642</v>
      </c>
      <c r="I18" s="22">
        <f t="shared" si="1"/>
        <v>1.5873228176982443</v>
      </c>
      <c r="J18" s="22">
        <f t="shared" si="1"/>
        <v>1.5873188672305996</v>
      </c>
      <c r="K18" s="22">
        <f t="shared" si="1"/>
        <v>1.5873138871976531</v>
      </c>
      <c r="L18" s="22">
        <f t="shared" si="1"/>
        <v>1.5873039027171822</v>
      </c>
      <c r="M18" s="22">
        <f t="shared" si="1"/>
        <v>1.5873063559654119</v>
      </c>
      <c r="N18" s="22">
        <f t="shared" si="1"/>
        <v>1.5873121666737615</v>
      </c>
      <c r="O18" s="22">
        <f>N16*'BWA Nowak'!N18</f>
        <v>1712974.8451406674</v>
      </c>
      <c r="P18" s="23">
        <f>O18/N10 - 1</f>
        <v>0.31252784863386851</v>
      </c>
    </row>
    <row r="19" spans="1:16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6" x14ac:dyDescent="0.2">
      <c r="A20" s="3" t="s">
        <v>27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6" x14ac:dyDescent="0.2">
      <c r="A21" s="5" t="s">
        <v>28</v>
      </c>
      <c r="B21" s="6">
        <v>7225</v>
      </c>
      <c r="C21" s="6">
        <v>7064</v>
      </c>
      <c r="D21" s="6">
        <v>7339</v>
      </c>
      <c r="E21" s="6">
        <v>7227</v>
      </c>
      <c r="F21" s="6">
        <v>7317</v>
      </c>
      <c r="G21" s="6">
        <v>7144</v>
      </c>
      <c r="H21" s="6">
        <v>7264</v>
      </c>
      <c r="I21" s="6">
        <v>7065</v>
      </c>
      <c r="J21" s="6">
        <v>7250</v>
      </c>
      <c r="K21" s="6">
        <v>7211</v>
      </c>
      <c r="L21" s="6">
        <v>7345</v>
      </c>
      <c r="M21" s="6">
        <v>7321</v>
      </c>
      <c r="N21" s="6">
        <v>86772</v>
      </c>
    </row>
    <row r="22" spans="1:16" x14ac:dyDescent="0.2">
      <c r="A22" s="5" t="s">
        <v>29</v>
      </c>
      <c r="B22" s="6">
        <v>1816</v>
      </c>
      <c r="C22" s="6">
        <v>1761</v>
      </c>
      <c r="D22" s="6">
        <v>1753</v>
      </c>
      <c r="E22" s="6">
        <v>1825</v>
      </c>
      <c r="F22" s="6">
        <v>1779</v>
      </c>
      <c r="G22" s="6">
        <v>1802</v>
      </c>
      <c r="H22" s="6">
        <v>1846</v>
      </c>
      <c r="I22" s="6">
        <v>1820</v>
      </c>
      <c r="J22" s="6">
        <v>1747</v>
      </c>
      <c r="K22" s="6">
        <v>1793</v>
      </c>
      <c r="L22" s="6">
        <v>1818</v>
      </c>
      <c r="M22" s="6">
        <v>1845</v>
      </c>
      <c r="N22" s="6">
        <v>21605</v>
      </c>
    </row>
    <row r="23" spans="1:16" x14ac:dyDescent="0.2">
      <c r="A23" s="5" t="s">
        <v>30</v>
      </c>
      <c r="B23" s="6">
        <v>5199</v>
      </c>
      <c r="C23" s="6">
        <v>5067</v>
      </c>
      <c r="D23" s="6">
        <v>5127</v>
      </c>
      <c r="E23" s="6">
        <v>5208</v>
      </c>
      <c r="F23" s="6">
        <v>5319</v>
      </c>
      <c r="G23" s="6">
        <v>5088</v>
      </c>
      <c r="H23" s="6">
        <v>5220</v>
      </c>
      <c r="I23" s="6">
        <v>5197</v>
      </c>
      <c r="J23" s="6">
        <v>5354</v>
      </c>
      <c r="K23" s="6">
        <v>5202</v>
      </c>
      <c r="L23" s="6">
        <v>5328</v>
      </c>
      <c r="M23" s="6">
        <v>5231</v>
      </c>
      <c r="N23" s="6">
        <v>62540</v>
      </c>
    </row>
    <row r="24" spans="1:16" x14ac:dyDescent="0.2">
      <c r="A24" s="5" t="s">
        <v>31</v>
      </c>
      <c r="B24" s="6">
        <v>1417</v>
      </c>
      <c r="C24" s="6">
        <v>1428</v>
      </c>
      <c r="D24" s="6">
        <v>1363</v>
      </c>
      <c r="E24" s="6">
        <v>1411</v>
      </c>
      <c r="F24" s="6">
        <v>1391</v>
      </c>
      <c r="G24" s="6">
        <v>1366</v>
      </c>
      <c r="H24" s="6">
        <v>1362</v>
      </c>
      <c r="I24" s="6">
        <v>1380</v>
      </c>
      <c r="J24" s="6">
        <v>1433</v>
      </c>
      <c r="K24" s="6">
        <v>1380</v>
      </c>
      <c r="L24" s="6">
        <v>1389</v>
      </c>
      <c r="M24" s="6">
        <v>1392</v>
      </c>
      <c r="N24" s="6">
        <v>16712</v>
      </c>
    </row>
    <row r="25" spans="1:16" x14ac:dyDescent="0.2">
      <c r="A25" s="5" t="s">
        <v>32</v>
      </c>
      <c r="B25" s="6">
        <v>1083</v>
      </c>
      <c r="C25" s="6">
        <v>1131</v>
      </c>
      <c r="D25" s="6">
        <v>1100</v>
      </c>
      <c r="E25" s="6">
        <v>1109</v>
      </c>
      <c r="F25" s="6">
        <v>1117</v>
      </c>
      <c r="G25" s="6">
        <v>1116</v>
      </c>
      <c r="H25" s="6">
        <v>1067</v>
      </c>
      <c r="I25" s="6">
        <v>1107</v>
      </c>
      <c r="J25" s="6">
        <v>1107</v>
      </c>
      <c r="K25" s="6">
        <v>1115</v>
      </c>
      <c r="L25" s="6">
        <v>1102</v>
      </c>
      <c r="M25" s="6">
        <v>1095</v>
      </c>
      <c r="N25" s="6">
        <v>13249</v>
      </c>
    </row>
    <row r="26" spans="1:16" x14ac:dyDescent="0.2">
      <c r="A26" s="5" t="s">
        <v>33</v>
      </c>
      <c r="B26" s="6">
        <v>798</v>
      </c>
      <c r="C26" s="6">
        <v>809</v>
      </c>
      <c r="D26" s="6">
        <v>796</v>
      </c>
      <c r="E26" s="6">
        <v>801</v>
      </c>
      <c r="F26" s="6">
        <v>797</v>
      </c>
      <c r="G26" s="6">
        <v>800</v>
      </c>
      <c r="H26" s="6">
        <v>787</v>
      </c>
      <c r="I26" s="6">
        <v>782</v>
      </c>
      <c r="J26" s="6">
        <v>816</v>
      </c>
      <c r="K26" s="6">
        <v>808</v>
      </c>
      <c r="L26" s="6">
        <v>808</v>
      </c>
      <c r="M26" s="6">
        <v>789</v>
      </c>
      <c r="N26" s="6">
        <v>9591</v>
      </c>
    </row>
    <row r="27" spans="1:16" x14ac:dyDescent="0.2">
      <c r="A27" s="5" t="s">
        <v>34</v>
      </c>
      <c r="B27" s="6">
        <v>97</v>
      </c>
      <c r="C27" s="6">
        <v>100</v>
      </c>
      <c r="D27" s="6">
        <v>100</v>
      </c>
      <c r="E27" s="6">
        <v>102</v>
      </c>
      <c r="F27" s="6">
        <v>99</v>
      </c>
      <c r="G27" s="6">
        <v>102</v>
      </c>
      <c r="H27" s="6">
        <v>100</v>
      </c>
      <c r="I27" s="6">
        <v>97</v>
      </c>
      <c r="J27" s="6">
        <v>100</v>
      </c>
      <c r="K27" s="6">
        <v>98</v>
      </c>
      <c r="L27" s="6">
        <v>98</v>
      </c>
      <c r="M27" s="6">
        <v>101</v>
      </c>
      <c r="N27" s="6">
        <v>1194</v>
      </c>
    </row>
    <row r="28" spans="1:16" x14ac:dyDescent="0.2">
      <c r="A28" s="5" t="s">
        <v>35</v>
      </c>
      <c r="B28" s="6">
        <v>717</v>
      </c>
      <c r="C28" s="6">
        <v>696</v>
      </c>
      <c r="D28" s="6">
        <v>690</v>
      </c>
      <c r="E28" s="6">
        <v>691</v>
      </c>
      <c r="F28" s="6">
        <v>716</v>
      </c>
      <c r="G28" s="6">
        <v>697</v>
      </c>
      <c r="H28" s="6">
        <v>682</v>
      </c>
      <c r="I28" s="6">
        <v>719</v>
      </c>
      <c r="J28" s="6">
        <v>695</v>
      </c>
      <c r="K28" s="6">
        <v>711</v>
      </c>
      <c r="L28" s="6">
        <v>717</v>
      </c>
      <c r="M28" s="6">
        <v>718</v>
      </c>
      <c r="N28" s="6">
        <v>8449</v>
      </c>
    </row>
    <row r="29" spans="1:16" x14ac:dyDescent="0.2">
      <c r="A29" s="5" t="s">
        <v>36</v>
      </c>
      <c r="B29" s="6">
        <v>1483</v>
      </c>
      <c r="C29" s="6">
        <v>1473</v>
      </c>
      <c r="D29" s="6">
        <v>1490</v>
      </c>
      <c r="E29" s="6">
        <v>1534</v>
      </c>
      <c r="F29" s="6">
        <v>1506</v>
      </c>
      <c r="G29" s="6">
        <v>1455</v>
      </c>
      <c r="H29" s="6">
        <v>1504</v>
      </c>
      <c r="I29" s="6">
        <v>1530</v>
      </c>
      <c r="J29" s="6">
        <v>1513</v>
      </c>
      <c r="K29" s="6">
        <v>1472</v>
      </c>
      <c r="L29" s="6">
        <v>1521</v>
      </c>
      <c r="M29" s="6">
        <v>1534</v>
      </c>
      <c r="N29" s="6">
        <v>18015</v>
      </c>
    </row>
    <row r="30" spans="1:16" x14ac:dyDescent="0.2">
      <c r="A30" s="7" t="s">
        <v>37</v>
      </c>
      <c r="B30" s="8">
        <v>19835</v>
      </c>
      <c r="C30" s="8">
        <v>19529</v>
      </c>
      <c r="D30" s="8">
        <v>19758</v>
      </c>
      <c r="E30" s="8">
        <v>19908</v>
      </c>
      <c r="F30" s="8">
        <v>20041</v>
      </c>
      <c r="G30" s="8">
        <v>19570</v>
      </c>
      <c r="H30" s="8">
        <v>19832</v>
      </c>
      <c r="I30" s="8">
        <v>19697</v>
      </c>
      <c r="J30" s="8">
        <v>20015</v>
      </c>
      <c r="K30" s="8">
        <v>19790</v>
      </c>
      <c r="L30" s="8">
        <v>20126</v>
      </c>
      <c r="M30" s="8">
        <v>20026</v>
      </c>
      <c r="N30" s="8">
        <v>238127</v>
      </c>
    </row>
    <row r="31" spans="1:16" x14ac:dyDescent="0.2">
      <c r="A31" s="10" t="s">
        <v>26</v>
      </c>
      <c r="B31" s="21">
        <f>B30/B10</f>
        <v>0.19127290260366442</v>
      </c>
      <c r="C31" s="21">
        <f>C30/C10</f>
        <v>0.19875428722635538</v>
      </c>
      <c r="D31" s="21">
        <f>D30/D10</f>
        <v>0.18077348875083488</v>
      </c>
      <c r="E31" s="21">
        <f>E30/E10</f>
        <v>0.1794936526255049</v>
      </c>
      <c r="F31" s="21">
        <f>F30/F10</f>
        <v>0.18414451499085754</v>
      </c>
      <c r="G31" s="21">
        <f>G30/G10</f>
        <v>0.19178941385156656</v>
      </c>
      <c r="H31" s="21">
        <f>H30/H10</f>
        <v>0.18891037425819909</v>
      </c>
      <c r="I31" s="21">
        <f>I30/I10</f>
        <v>0.19077182345591726</v>
      </c>
      <c r="J31" s="21">
        <f>J30/J10</f>
        <v>0.18549926782702181</v>
      </c>
      <c r="K31" s="21">
        <f>K30/K10</f>
        <v>0.17251900411465235</v>
      </c>
      <c r="L31" s="21">
        <f>L30/L10</f>
        <v>0.16814122325538652</v>
      </c>
      <c r="M31" s="21">
        <f>M30/M10</f>
        <v>0.16479456225672928</v>
      </c>
      <c r="N31" s="21">
        <f>N30/N10</f>
        <v>0.18245937463604209</v>
      </c>
      <c r="O31" s="24">
        <f>M30/'Kanzlei-Profil'!C6</f>
        <v>953.61904761904759</v>
      </c>
    </row>
    <row r="32" spans="1:16" x14ac:dyDescent="0.2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x14ac:dyDescent="0.2">
      <c r="A33" s="7" t="s">
        <v>38</v>
      </c>
      <c r="B33" s="8">
        <v>18534</v>
      </c>
      <c r="C33" s="8">
        <v>16827</v>
      </c>
      <c r="D33" s="8">
        <v>20682</v>
      </c>
      <c r="E33" s="8">
        <v>21130</v>
      </c>
      <c r="F33" s="8">
        <v>20228</v>
      </c>
      <c r="G33" s="8">
        <v>18185</v>
      </c>
      <c r="H33" s="8">
        <v>19011</v>
      </c>
      <c r="I33" s="8">
        <v>18506</v>
      </c>
      <c r="J33" s="8">
        <v>19908</v>
      </c>
      <c r="K33" s="8">
        <v>22654</v>
      </c>
      <c r="L33" s="8">
        <v>24162</v>
      </c>
      <c r="M33" s="8">
        <v>24937</v>
      </c>
      <c r="N33" s="8">
        <v>244764</v>
      </c>
    </row>
    <row r="34" spans="1:14" x14ac:dyDescent="0.2">
      <c r="A34" s="10" t="s">
        <v>39</v>
      </c>
      <c r="B34" s="12">
        <v>0.1787270973963356</v>
      </c>
      <c r="C34" s="12">
        <v>0.17125497420031141</v>
      </c>
      <c r="D34" s="12">
        <v>0.1892275176811806</v>
      </c>
      <c r="E34" s="12">
        <v>0.1905113964223889</v>
      </c>
      <c r="F34" s="12">
        <v>0.18586274383688769</v>
      </c>
      <c r="G34" s="12">
        <v>0.17821617224786601</v>
      </c>
      <c r="H34" s="12">
        <v>0.18108991150779671</v>
      </c>
      <c r="I34" s="12">
        <v>0.1792366027758138</v>
      </c>
      <c r="J34" s="12">
        <v>0.18450759050214091</v>
      </c>
      <c r="K34" s="12">
        <v>0.19748587767626749</v>
      </c>
      <c r="L34" s="12">
        <v>0.2018596957317226</v>
      </c>
      <c r="M34" s="12">
        <v>0.2052073304202566</v>
      </c>
      <c r="N34" s="11">
        <v>0.18754482428878799</v>
      </c>
    </row>
    <row r="35" spans="1:14" x14ac:dyDescent="0.2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x14ac:dyDescent="0.2">
      <c r="A36" s="5" t="s">
        <v>40</v>
      </c>
      <c r="B36" s="6">
        <v>1942</v>
      </c>
      <c r="C36" s="6">
        <v>1953</v>
      </c>
      <c r="D36" s="6">
        <v>1967</v>
      </c>
      <c r="E36" s="6">
        <v>2030</v>
      </c>
      <c r="F36" s="6">
        <v>1991</v>
      </c>
      <c r="G36" s="6">
        <v>2049</v>
      </c>
      <c r="H36" s="6">
        <v>1984</v>
      </c>
      <c r="I36" s="6">
        <v>2021</v>
      </c>
      <c r="J36" s="6">
        <v>2030</v>
      </c>
      <c r="K36" s="6">
        <v>1969</v>
      </c>
      <c r="L36" s="6">
        <v>1998</v>
      </c>
      <c r="M36" s="6">
        <v>1951</v>
      </c>
      <c r="N36" s="6">
        <v>23885</v>
      </c>
    </row>
    <row r="37" spans="1:14" x14ac:dyDescent="0.2">
      <c r="A37" s="7" t="s">
        <v>41</v>
      </c>
      <c r="B37" s="8">
        <v>16592</v>
      </c>
      <c r="C37" s="8">
        <v>14874</v>
      </c>
      <c r="D37" s="8">
        <v>18715</v>
      </c>
      <c r="E37" s="8">
        <v>19100</v>
      </c>
      <c r="F37" s="8">
        <v>18237</v>
      </c>
      <c r="G37" s="8">
        <v>16136</v>
      </c>
      <c r="H37" s="8">
        <v>17027</v>
      </c>
      <c r="I37" s="8">
        <v>16485</v>
      </c>
      <c r="J37" s="8">
        <v>17878</v>
      </c>
      <c r="K37" s="8">
        <v>20685</v>
      </c>
      <c r="L37" s="8">
        <v>22164</v>
      </c>
      <c r="M37" s="8">
        <v>22986</v>
      </c>
      <c r="N37" s="8">
        <v>220879</v>
      </c>
    </row>
    <row r="38" spans="1:14" x14ac:dyDescent="0.2">
      <c r="A38" s="10" t="s">
        <v>42</v>
      </c>
      <c r="B38" s="12">
        <v>0.16</v>
      </c>
      <c r="C38" s="12">
        <v>0.15137852773848171</v>
      </c>
      <c r="D38" s="12">
        <v>0.17123068336733849</v>
      </c>
      <c r="E38" s="12">
        <v>0.1722085978072706</v>
      </c>
      <c r="F38" s="12">
        <v>0.1675686602409196</v>
      </c>
      <c r="G38" s="12">
        <v>0.1581356148139437</v>
      </c>
      <c r="H38" s="12">
        <v>0.16219125365542339</v>
      </c>
      <c r="I38" s="12">
        <v>0.15966256331780451</v>
      </c>
      <c r="J38" s="12">
        <v>0.16569352536654991</v>
      </c>
      <c r="K38" s="12">
        <v>0.18032115210265709</v>
      </c>
      <c r="L38" s="12">
        <v>0.18516754805884861</v>
      </c>
      <c r="M38" s="12">
        <v>0.1891524921618486</v>
      </c>
      <c r="N38" s="11">
        <v>0.16924348860160479</v>
      </c>
    </row>
    <row r="39" spans="1:14" x14ac:dyDescent="0.2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2">
      <c r="A40" s="5" t="s">
        <v>43</v>
      </c>
      <c r="B40" s="6">
        <v>444</v>
      </c>
      <c r="C40" s="6">
        <v>440</v>
      </c>
      <c r="D40" s="6">
        <v>447</v>
      </c>
      <c r="E40" s="6">
        <v>443</v>
      </c>
      <c r="F40" s="6">
        <v>451</v>
      </c>
      <c r="G40" s="6">
        <v>456</v>
      </c>
      <c r="H40" s="6">
        <v>455</v>
      </c>
      <c r="I40" s="6">
        <v>445</v>
      </c>
      <c r="J40" s="6">
        <v>438</v>
      </c>
      <c r="K40" s="6">
        <v>439</v>
      </c>
      <c r="L40" s="6">
        <v>455</v>
      </c>
      <c r="M40" s="6">
        <v>439</v>
      </c>
      <c r="N40" s="6">
        <v>5352</v>
      </c>
    </row>
    <row r="41" spans="1:14" x14ac:dyDescent="0.2">
      <c r="A41" s="7" t="s">
        <v>44</v>
      </c>
      <c r="B41" s="8">
        <v>16148</v>
      </c>
      <c r="C41" s="8">
        <v>14434</v>
      </c>
      <c r="D41" s="8">
        <v>18268</v>
      </c>
      <c r="E41" s="8">
        <v>18657</v>
      </c>
      <c r="F41" s="8">
        <v>17786</v>
      </c>
      <c r="G41" s="8">
        <v>15680</v>
      </c>
      <c r="H41" s="8">
        <v>16572</v>
      </c>
      <c r="I41" s="8">
        <v>16040</v>
      </c>
      <c r="J41" s="8">
        <v>17440</v>
      </c>
      <c r="K41" s="8">
        <v>20246</v>
      </c>
      <c r="L41" s="8">
        <v>21709</v>
      </c>
      <c r="M41" s="8">
        <v>22547</v>
      </c>
      <c r="N41" s="8">
        <v>215527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1"/>
  <sheetViews>
    <sheetView workbookViewId="0">
      <selection activeCell="N31" sqref="N31"/>
    </sheetView>
  </sheetViews>
  <sheetFormatPr baseColWidth="10" defaultColWidth="8.83203125" defaultRowHeight="15" x14ac:dyDescent="0.2"/>
  <cols>
    <col min="1" max="1" width="35" customWidth="1"/>
    <col min="2" max="14" width="13" customWidth="1"/>
    <col min="15" max="15" width="10.6640625" bestFit="1" customWidth="1"/>
  </cols>
  <sheetData>
    <row r="1" spans="1:14" ht="18" x14ac:dyDescent="0.2">
      <c r="A1" s="17" t="s">
        <v>46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3" spans="1:14" x14ac:dyDescent="0.2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5" spans="1:14" x14ac:dyDescent="0.2">
      <c r="A5" s="3" t="s">
        <v>15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">
      <c r="A6" s="5" t="s">
        <v>16</v>
      </c>
      <c r="B6" s="6">
        <v>20957</v>
      </c>
      <c r="C6" s="6">
        <v>19557</v>
      </c>
      <c r="D6" s="6">
        <v>23432</v>
      </c>
      <c r="E6" s="6">
        <v>24827</v>
      </c>
      <c r="F6" s="6">
        <v>22463</v>
      </c>
      <c r="G6" s="6">
        <v>21890</v>
      </c>
      <c r="H6" s="6">
        <v>25299</v>
      </c>
      <c r="I6" s="6">
        <v>23353</v>
      </c>
      <c r="J6" s="6">
        <v>25732</v>
      </c>
      <c r="K6" s="6">
        <v>29029</v>
      </c>
      <c r="L6" s="6">
        <v>29618</v>
      </c>
      <c r="M6" s="6">
        <v>31354</v>
      </c>
      <c r="N6" s="6">
        <v>297511</v>
      </c>
    </row>
    <row r="7" spans="1:14" x14ac:dyDescent="0.2">
      <c r="A7" s="5" t="s">
        <v>17</v>
      </c>
      <c r="B7" s="6">
        <v>7498</v>
      </c>
      <c r="C7" s="6">
        <v>7340</v>
      </c>
      <c r="D7" s="6">
        <v>8167</v>
      </c>
      <c r="E7" s="6">
        <v>8912</v>
      </c>
      <c r="F7" s="6">
        <v>8263</v>
      </c>
      <c r="G7" s="6">
        <v>8051</v>
      </c>
      <c r="H7" s="6">
        <v>8970</v>
      </c>
      <c r="I7" s="6">
        <v>8773</v>
      </c>
      <c r="J7" s="6">
        <v>9558</v>
      </c>
      <c r="K7" s="6">
        <v>10342</v>
      </c>
      <c r="L7" s="6">
        <v>11060</v>
      </c>
      <c r="M7" s="6">
        <v>11761</v>
      </c>
      <c r="N7" s="6">
        <v>108695</v>
      </c>
    </row>
    <row r="8" spans="1:14" x14ac:dyDescent="0.2">
      <c r="A8" s="5" t="s">
        <v>18</v>
      </c>
      <c r="B8" s="6">
        <v>7405</v>
      </c>
      <c r="C8" s="6">
        <v>7073</v>
      </c>
      <c r="D8" s="6">
        <v>8156</v>
      </c>
      <c r="E8" s="6">
        <v>8895</v>
      </c>
      <c r="F8" s="6">
        <v>8248</v>
      </c>
      <c r="G8" s="6">
        <v>8120</v>
      </c>
      <c r="H8" s="6">
        <v>9094</v>
      </c>
      <c r="I8" s="6">
        <v>8681</v>
      </c>
      <c r="J8" s="6">
        <v>9479</v>
      </c>
      <c r="K8" s="6">
        <v>10112</v>
      </c>
      <c r="L8" s="6">
        <v>10799</v>
      </c>
      <c r="M8" s="6">
        <v>11540</v>
      </c>
      <c r="N8" s="6">
        <v>107602</v>
      </c>
    </row>
    <row r="9" spans="1:14" x14ac:dyDescent="0.2">
      <c r="A9" s="5" t="s">
        <v>19</v>
      </c>
      <c r="B9" s="6">
        <v>1869</v>
      </c>
      <c r="C9" s="6">
        <v>1836</v>
      </c>
      <c r="D9" s="6">
        <v>2086</v>
      </c>
      <c r="E9" s="6">
        <v>2211</v>
      </c>
      <c r="F9" s="6">
        <v>2109</v>
      </c>
      <c r="G9" s="6">
        <v>1956</v>
      </c>
      <c r="H9" s="6">
        <v>2261</v>
      </c>
      <c r="I9" s="6">
        <v>2109</v>
      </c>
      <c r="J9" s="6">
        <v>2362</v>
      </c>
      <c r="K9" s="6">
        <v>2623</v>
      </c>
      <c r="L9" s="6">
        <v>2773</v>
      </c>
      <c r="M9" s="6">
        <v>2960</v>
      </c>
      <c r="N9" s="6">
        <v>27155</v>
      </c>
    </row>
    <row r="10" spans="1:14" x14ac:dyDescent="0.2">
      <c r="A10" s="7" t="s">
        <v>20</v>
      </c>
      <c r="B10" s="8">
        <v>37729</v>
      </c>
      <c r="C10" s="8">
        <v>35806</v>
      </c>
      <c r="D10" s="8">
        <v>41841</v>
      </c>
      <c r="E10" s="8">
        <v>44845</v>
      </c>
      <c r="F10" s="8">
        <v>41083</v>
      </c>
      <c r="G10" s="8">
        <v>40017</v>
      </c>
      <c r="H10" s="8">
        <v>45624</v>
      </c>
      <c r="I10" s="8">
        <v>42916</v>
      </c>
      <c r="J10" s="8">
        <v>47131</v>
      </c>
      <c r="K10" s="8">
        <v>52106</v>
      </c>
      <c r="L10" s="8">
        <v>54250</v>
      </c>
      <c r="M10" s="8">
        <v>57615</v>
      </c>
      <c r="N10" s="8">
        <v>540963</v>
      </c>
    </row>
    <row r="11" spans="1:14" x14ac:dyDescent="0.2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x14ac:dyDescent="0.2">
      <c r="A12" s="3" t="s">
        <v>21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">
      <c r="A13" s="5" t="s">
        <v>22</v>
      </c>
      <c r="B13" s="6">
        <v>9054</v>
      </c>
      <c r="C13" s="6">
        <v>8593</v>
      </c>
      <c r="D13" s="6">
        <v>10041</v>
      </c>
      <c r="E13" s="6">
        <v>10762</v>
      </c>
      <c r="F13" s="6">
        <v>9859</v>
      </c>
      <c r="G13" s="6">
        <v>9604</v>
      </c>
      <c r="H13" s="6">
        <v>10949</v>
      </c>
      <c r="I13" s="6">
        <v>10299</v>
      </c>
      <c r="J13" s="6">
        <v>11311</v>
      </c>
      <c r="K13" s="6">
        <v>12505</v>
      </c>
      <c r="L13" s="6">
        <v>13020</v>
      </c>
      <c r="M13" s="6">
        <v>13827</v>
      </c>
      <c r="N13" s="6">
        <v>129824</v>
      </c>
    </row>
    <row r="14" spans="1:14" x14ac:dyDescent="0.2">
      <c r="A14" s="5" t="s">
        <v>23</v>
      </c>
      <c r="B14" s="6">
        <v>6338</v>
      </c>
      <c r="C14" s="6">
        <v>6015</v>
      </c>
      <c r="D14" s="6">
        <v>7029</v>
      </c>
      <c r="E14" s="6">
        <v>7533</v>
      </c>
      <c r="F14" s="6">
        <v>6901</v>
      </c>
      <c r="G14" s="6">
        <v>6722</v>
      </c>
      <c r="H14" s="6">
        <v>7664</v>
      </c>
      <c r="I14" s="6">
        <v>7209</v>
      </c>
      <c r="J14" s="6">
        <v>7917</v>
      </c>
      <c r="K14" s="6">
        <v>8753</v>
      </c>
      <c r="L14" s="6">
        <v>9114</v>
      </c>
      <c r="M14" s="6">
        <v>9679</v>
      </c>
      <c r="N14" s="6">
        <v>90874</v>
      </c>
    </row>
    <row r="15" spans="1:14" x14ac:dyDescent="0.2">
      <c r="A15" s="5" t="s">
        <v>24</v>
      </c>
      <c r="B15" s="6">
        <v>2717</v>
      </c>
      <c r="C15" s="6">
        <v>2578</v>
      </c>
      <c r="D15" s="6">
        <v>3013</v>
      </c>
      <c r="E15" s="6">
        <v>3230</v>
      </c>
      <c r="F15" s="6">
        <v>2959</v>
      </c>
      <c r="G15" s="6">
        <v>2882</v>
      </c>
      <c r="H15" s="6">
        <v>3286</v>
      </c>
      <c r="I15" s="6">
        <v>3091</v>
      </c>
      <c r="J15" s="6">
        <v>3394</v>
      </c>
      <c r="K15" s="6">
        <v>3752</v>
      </c>
      <c r="L15" s="6">
        <v>3906</v>
      </c>
      <c r="M15" s="6">
        <v>4149</v>
      </c>
      <c r="N15" s="6">
        <v>38957</v>
      </c>
    </row>
    <row r="16" spans="1:14" x14ac:dyDescent="0.2">
      <c r="A16" s="7" t="s">
        <v>25</v>
      </c>
      <c r="B16" s="8">
        <v>18109</v>
      </c>
      <c r="C16" s="8">
        <v>17186</v>
      </c>
      <c r="D16" s="8">
        <v>20083</v>
      </c>
      <c r="E16" s="8">
        <v>21525</v>
      </c>
      <c r="F16" s="8">
        <v>19719</v>
      </c>
      <c r="G16" s="8">
        <v>19208</v>
      </c>
      <c r="H16" s="8">
        <v>21899</v>
      </c>
      <c r="I16" s="8">
        <v>20599</v>
      </c>
      <c r="J16" s="8">
        <v>22622</v>
      </c>
      <c r="K16" s="8">
        <v>25010</v>
      </c>
      <c r="L16" s="8">
        <v>26040</v>
      </c>
      <c r="M16" s="8">
        <v>27655</v>
      </c>
      <c r="N16" s="8">
        <v>259655</v>
      </c>
    </row>
    <row r="17" spans="1:15" x14ac:dyDescent="0.2">
      <c r="A17" s="10" t="s">
        <v>26</v>
      </c>
      <c r="B17" s="20">
        <f>B16/B10</f>
        <v>0.47997561557422674</v>
      </c>
      <c r="C17" s="20">
        <f t="shared" ref="C17:N17" si="0">C16/C10</f>
        <v>0.47997542311344465</v>
      </c>
      <c r="D17" s="20">
        <f t="shared" si="0"/>
        <v>0.47998374799837479</v>
      </c>
      <c r="E17" s="20">
        <f t="shared" si="0"/>
        <v>0.4799866205820047</v>
      </c>
      <c r="F17" s="20">
        <f t="shared" si="0"/>
        <v>0.47997955358664168</v>
      </c>
      <c r="G17" s="20">
        <f t="shared" si="0"/>
        <v>0.47999600169927781</v>
      </c>
      <c r="H17" s="20">
        <f t="shared" si="0"/>
        <v>0.47998860248991759</v>
      </c>
      <c r="I17" s="20">
        <f t="shared" si="0"/>
        <v>0.47998415509367137</v>
      </c>
      <c r="J17" s="20">
        <f t="shared" si="0"/>
        <v>0.47998132863720266</v>
      </c>
      <c r="K17" s="20">
        <f t="shared" si="0"/>
        <v>0.47998311134994048</v>
      </c>
      <c r="L17" s="20">
        <f t="shared" si="0"/>
        <v>0.48</v>
      </c>
      <c r="M17" s="20">
        <f t="shared" si="0"/>
        <v>0.4799965286817669</v>
      </c>
      <c r="N17" s="20">
        <f t="shared" si="0"/>
        <v>0.47998661645990576</v>
      </c>
    </row>
    <row r="18" spans="1:15" x14ac:dyDescent="0.2">
      <c r="A18" s="10" t="s">
        <v>105</v>
      </c>
      <c r="B18" s="22">
        <f>B10/B16</f>
        <v>2.0834391738914353</v>
      </c>
      <c r="C18" s="22">
        <f t="shared" ref="C18:N18" si="1">C10/C16</f>
        <v>2.0834400093099035</v>
      </c>
      <c r="D18" s="22">
        <f t="shared" si="1"/>
        <v>2.0834038739232188</v>
      </c>
      <c r="E18" s="22">
        <f t="shared" si="1"/>
        <v>2.083391405342625</v>
      </c>
      <c r="F18" s="22">
        <f t="shared" si="1"/>
        <v>2.0834220802271921</v>
      </c>
      <c r="G18" s="22">
        <f t="shared" si="1"/>
        <v>2.0833506872136609</v>
      </c>
      <c r="H18" s="22">
        <f t="shared" si="1"/>
        <v>2.0833828028677108</v>
      </c>
      <c r="I18" s="22">
        <f t="shared" si="1"/>
        <v>2.0834021068983932</v>
      </c>
      <c r="J18" s="22">
        <f t="shared" si="1"/>
        <v>2.0834143753867918</v>
      </c>
      <c r="K18" s="22">
        <f t="shared" si="1"/>
        <v>2.0834066373450622</v>
      </c>
      <c r="L18" s="22">
        <f t="shared" si="1"/>
        <v>2.0833333333333335</v>
      </c>
      <c r="M18" s="22">
        <f t="shared" si="1"/>
        <v>2.0833483999276803</v>
      </c>
      <c r="N18" s="22">
        <f t="shared" si="1"/>
        <v>2.0833914232346769</v>
      </c>
    </row>
    <row r="19" spans="1:15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5" x14ac:dyDescent="0.2">
      <c r="A20" s="3" t="s">
        <v>27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5" x14ac:dyDescent="0.2">
      <c r="A21" s="5" t="s">
        <v>28</v>
      </c>
      <c r="B21" s="6">
        <v>2221</v>
      </c>
      <c r="C21" s="6">
        <v>2160</v>
      </c>
      <c r="D21" s="6">
        <v>2184</v>
      </c>
      <c r="E21" s="6">
        <v>2145</v>
      </c>
      <c r="F21" s="6">
        <v>2245</v>
      </c>
      <c r="G21" s="6">
        <v>2209</v>
      </c>
      <c r="H21" s="6">
        <v>2219</v>
      </c>
      <c r="I21" s="6">
        <v>2215</v>
      </c>
      <c r="J21" s="6">
        <v>2219</v>
      </c>
      <c r="K21" s="6">
        <v>2212</v>
      </c>
      <c r="L21" s="6">
        <v>2208</v>
      </c>
      <c r="M21" s="6">
        <v>2160</v>
      </c>
      <c r="N21" s="6">
        <v>26397</v>
      </c>
    </row>
    <row r="22" spans="1:15" x14ac:dyDescent="0.2">
      <c r="A22" s="5" t="s">
        <v>29</v>
      </c>
      <c r="B22" s="6">
        <v>1755</v>
      </c>
      <c r="C22" s="6">
        <v>1761</v>
      </c>
      <c r="D22" s="6">
        <v>1773</v>
      </c>
      <c r="E22" s="6">
        <v>1848</v>
      </c>
      <c r="F22" s="6">
        <v>1843</v>
      </c>
      <c r="G22" s="6">
        <v>1830</v>
      </c>
      <c r="H22" s="6">
        <v>1767</v>
      </c>
      <c r="I22" s="6">
        <v>1851</v>
      </c>
      <c r="J22" s="6">
        <v>1804</v>
      </c>
      <c r="K22" s="6">
        <v>1813</v>
      </c>
      <c r="L22" s="6">
        <v>1824</v>
      </c>
      <c r="M22" s="6">
        <v>1850</v>
      </c>
      <c r="N22" s="6">
        <v>21719</v>
      </c>
    </row>
    <row r="23" spans="1:15" x14ac:dyDescent="0.2">
      <c r="A23" s="5" t="s">
        <v>30</v>
      </c>
      <c r="B23" s="6">
        <v>2104</v>
      </c>
      <c r="C23" s="6">
        <v>2067</v>
      </c>
      <c r="D23" s="6">
        <v>2059</v>
      </c>
      <c r="E23" s="6">
        <v>2079</v>
      </c>
      <c r="F23" s="6">
        <v>2073</v>
      </c>
      <c r="G23" s="6">
        <v>2155</v>
      </c>
      <c r="H23" s="6">
        <v>2144</v>
      </c>
      <c r="I23" s="6">
        <v>2140</v>
      </c>
      <c r="J23" s="6">
        <v>2114</v>
      </c>
      <c r="K23" s="6">
        <v>2077</v>
      </c>
      <c r="L23" s="6">
        <v>2142</v>
      </c>
      <c r="M23" s="6">
        <v>2101</v>
      </c>
      <c r="N23" s="6">
        <v>25255</v>
      </c>
    </row>
    <row r="24" spans="1:15" x14ac:dyDescent="0.2">
      <c r="A24" s="5" t="s">
        <v>31</v>
      </c>
      <c r="B24" s="6">
        <v>503</v>
      </c>
      <c r="C24" s="6">
        <v>498</v>
      </c>
      <c r="D24" s="6">
        <v>497</v>
      </c>
      <c r="E24" s="6">
        <v>492</v>
      </c>
      <c r="F24" s="6">
        <v>504</v>
      </c>
      <c r="G24" s="6">
        <v>505</v>
      </c>
      <c r="H24" s="6">
        <v>512</v>
      </c>
      <c r="I24" s="6">
        <v>485</v>
      </c>
      <c r="J24" s="6">
        <v>505</v>
      </c>
      <c r="K24" s="6">
        <v>491</v>
      </c>
      <c r="L24" s="6">
        <v>508</v>
      </c>
      <c r="M24" s="6">
        <v>508</v>
      </c>
      <c r="N24" s="6">
        <v>6008</v>
      </c>
    </row>
    <row r="25" spans="1:15" x14ac:dyDescent="0.2">
      <c r="A25" s="5" t="s">
        <v>32</v>
      </c>
      <c r="B25" s="6">
        <v>304</v>
      </c>
      <c r="C25" s="6">
        <v>307</v>
      </c>
      <c r="D25" s="6">
        <v>301</v>
      </c>
      <c r="E25" s="6">
        <v>299</v>
      </c>
      <c r="F25" s="6">
        <v>303</v>
      </c>
      <c r="G25" s="6">
        <v>291</v>
      </c>
      <c r="H25" s="6">
        <v>303</v>
      </c>
      <c r="I25" s="6">
        <v>293</v>
      </c>
      <c r="J25" s="6">
        <v>297</v>
      </c>
      <c r="K25" s="6">
        <v>306</v>
      </c>
      <c r="L25" s="6">
        <v>299</v>
      </c>
      <c r="M25" s="6">
        <v>294</v>
      </c>
      <c r="N25" s="6">
        <v>3597</v>
      </c>
    </row>
    <row r="26" spans="1:15" x14ac:dyDescent="0.2">
      <c r="A26" s="5" t="s">
        <v>33</v>
      </c>
      <c r="B26" s="6">
        <v>201</v>
      </c>
      <c r="C26" s="6">
        <v>201</v>
      </c>
      <c r="D26" s="6">
        <v>205</v>
      </c>
      <c r="E26" s="6">
        <v>195</v>
      </c>
      <c r="F26" s="6">
        <v>204</v>
      </c>
      <c r="G26" s="6">
        <v>199</v>
      </c>
      <c r="H26" s="6">
        <v>202</v>
      </c>
      <c r="I26" s="6">
        <v>204</v>
      </c>
      <c r="J26" s="6">
        <v>197</v>
      </c>
      <c r="K26" s="6">
        <v>194</v>
      </c>
      <c r="L26" s="6">
        <v>198</v>
      </c>
      <c r="M26" s="6">
        <v>197</v>
      </c>
      <c r="N26" s="6">
        <v>2397</v>
      </c>
    </row>
    <row r="27" spans="1:15" x14ac:dyDescent="0.2">
      <c r="A27" s="5" t="s">
        <v>34</v>
      </c>
      <c r="B27" s="6">
        <v>582</v>
      </c>
      <c r="C27" s="6">
        <v>592</v>
      </c>
      <c r="D27" s="6">
        <v>606</v>
      </c>
      <c r="E27" s="6">
        <v>608</v>
      </c>
      <c r="F27" s="6">
        <v>615</v>
      </c>
      <c r="G27" s="6">
        <v>612</v>
      </c>
      <c r="H27" s="6">
        <v>594</v>
      </c>
      <c r="I27" s="6">
        <v>610</v>
      </c>
      <c r="J27" s="6">
        <v>593</v>
      </c>
      <c r="K27" s="6">
        <v>593</v>
      </c>
      <c r="L27" s="6">
        <v>583</v>
      </c>
      <c r="M27" s="6">
        <v>612</v>
      </c>
      <c r="N27" s="6">
        <v>7200</v>
      </c>
    </row>
    <row r="28" spans="1:15" x14ac:dyDescent="0.2">
      <c r="A28" s="5" t="s">
        <v>35</v>
      </c>
      <c r="B28" s="6">
        <v>300</v>
      </c>
      <c r="C28" s="6">
        <v>294</v>
      </c>
      <c r="D28" s="6">
        <v>305</v>
      </c>
      <c r="E28" s="6">
        <v>307</v>
      </c>
      <c r="F28" s="6">
        <v>303</v>
      </c>
      <c r="G28" s="6">
        <v>306</v>
      </c>
      <c r="H28" s="6">
        <v>306</v>
      </c>
      <c r="I28" s="6">
        <v>299</v>
      </c>
      <c r="J28" s="6">
        <v>295</v>
      </c>
      <c r="K28" s="6">
        <v>302</v>
      </c>
      <c r="L28" s="6">
        <v>299</v>
      </c>
      <c r="M28" s="6">
        <v>298</v>
      </c>
      <c r="N28" s="6">
        <v>3614</v>
      </c>
    </row>
    <row r="29" spans="1:15" x14ac:dyDescent="0.2">
      <c r="A29" s="5" t="s">
        <v>36</v>
      </c>
      <c r="B29" s="6">
        <v>398</v>
      </c>
      <c r="C29" s="6">
        <v>399</v>
      </c>
      <c r="D29" s="6">
        <v>404</v>
      </c>
      <c r="E29" s="6">
        <v>401</v>
      </c>
      <c r="F29" s="6">
        <v>408</v>
      </c>
      <c r="G29" s="6">
        <v>405</v>
      </c>
      <c r="H29" s="6">
        <v>396</v>
      </c>
      <c r="I29" s="6">
        <v>393</v>
      </c>
      <c r="J29" s="6">
        <v>399</v>
      </c>
      <c r="K29" s="6">
        <v>411</v>
      </c>
      <c r="L29" s="6">
        <v>396</v>
      </c>
      <c r="M29" s="6">
        <v>410</v>
      </c>
      <c r="N29" s="6">
        <v>4820</v>
      </c>
    </row>
    <row r="30" spans="1:15" x14ac:dyDescent="0.2">
      <c r="A30" s="7" t="s">
        <v>37</v>
      </c>
      <c r="B30" s="8">
        <v>8368</v>
      </c>
      <c r="C30" s="8">
        <v>8279</v>
      </c>
      <c r="D30" s="8">
        <v>8334</v>
      </c>
      <c r="E30" s="8">
        <v>8374</v>
      </c>
      <c r="F30" s="8">
        <v>8498</v>
      </c>
      <c r="G30" s="8">
        <v>8512</v>
      </c>
      <c r="H30" s="8">
        <v>8443</v>
      </c>
      <c r="I30" s="8">
        <v>8490</v>
      </c>
      <c r="J30" s="8">
        <v>8423</v>
      </c>
      <c r="K30" s="8">
        <v>8399</v>
      </c>
      <c r="L30" s="8">
        <v>8457</v>
      </c>
      <c r="M30" s="8">
        <v>8430</v>
      </c>
      <c r="N30" s="8">
        <v>101007</v>
      </c>
    </row>
    <row r="31" spans="1:15" x14ac:dyDescent="0.2">
      <c r="A31" s="10" t="s">
        <v>26</v>
      </c>
      <c r="B31" s="21">
        <f>B30/B10</f>
        <v>0.22179225529433591</v>
      </c>
      <c r="C31" s="21">
        <f t="shared" ref="C31:N31" si="2">C30/C10</f>
        <v>0.23121823158129923</v>
      </c>
      <c r="D31" s="21">
        <f t="shared" si="2"/>
        <v>0.199182619918262</v>
      </c>
      <c r="E31" s="21">
        <f t="shared" si="2"/>
        <v>0.18673207715464377</v>
      </c>
      <c r="F31" s="21">
        <f t="shared" si="2"/>
        <v>0.20684954847503834</v>
      </c>
      <c r="G31" s="21">
        <f t="shared" si="2"/>
        <v>0.21270959842067122</v>
      </c>
      <c r="H31" s="21">
        <f t="shared" si="2"/>
        <v>0.18505611081886728</v>
      </c>
      <c r="I31" s="21">
        <f t="shared" si="2"/>
        <v>0.19782831577966259</v>
      </c>
      <c r="J31" s="21">
        <f t="shared" si="2"/>
        <v>0.17871464641106702</v>
      </c>
      <c r="K31" s="21">
        <f t="shared" si="2"/>
        <v>0.16119064982919434</v>
      </c>
      <c r="L31" s="21">
        <f t="shared" si="2"/>
        <v>0.15588940092165898</v>
      </c>
      <c r="M31" s="21">
        <f t="shared" si="2"/>
        <v>0.14631606352512366</v>
      </c>
      <c r="N31" s="21">
        <f t="shared" si="2"/>
        <v>0.18671702131199361</v>
      </c>
      <c r="O31" s="24">
        <f>M30/'Kanzlei-Profil'!D6</f>
        <v>1053.75</v>
      </c>
    </row>
    <row r="32" spans="1:15" x14ac:dyDescent="0.2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x14ac:dyDescent="0.2">
      <c r="A33" s="7" t="s">
        <v>38</v>
      </c>
      <c r="B33" s="8">
        <v>11252</v>
      </c>
      <c r="C33" s="8">
        <v>10341</v>
      </c>
      <c r="D33" s="8">
        <v>13424</v>
      </c>
      <c r="E33" s="8">
        <v>14946</v>
      </c>
      <c r="F33" s="8">
        <v>12866</v>
      </c>
      <c r="G33" s="8">
        <v>12297</v>
      </c>
      <c r="H33" s="8">
        <v>15282</v>
      </c>
      <c r="I33" s="8">
        <v>13827</v>
      </c>
      <c r="J33" s="8">
        <v>16086</v>
      </c>
      <c r="K33" s="8">
        <v>18697</v>
      </c>
      <c r="L33" s="8">
        <v>19753</v>
      </c>
      <c r="M33" s="8">
        <v>21530</v>
      </c>
      <c r="N33" s="8">
        <v>180301</v>
      </c>
    </row>
    <row r="34" spans="1:14" x14ac:dyDescent="0.2">
      <c r="A34" s="10" t="s">
        <v>39</v>
      </c>
      <c r="B34" s="12">
        <v>0.29823212913143737</v>
      </c>
      <c r="C34" s="12">
        <v>0.28880634530525612</v>
      </c>
      <c r="D34" s="12">
        <v>0.32083363208336318</v>
      </c>
      <c r="E34" s="12">
        <v>0.33328130226335162</v>
      </c>
      <c r="F34" s="12">
        <v>0.31317089793831998</v>
      </c>
      <c r="G34" s="12">
        <v>0.30729439988005097</v>
      </c>
      <c r="H34" s="12">
        <v>0.33495528669121521</v>
      </c>
      <c r="I34" s="12">
        <v>0.32218752912666598</v>
      </c>
      <c r="J34" s="12">
        <v>0.34130402495173029</v>
      </c>
      <c r="K34" s="12">
        <v>0.35882623882086517</v>
      </c>
      <c r="L34" s="12">
        <v>0.36411059907834098</v>
      </c>
      <c r="M34" s="12">
        <v>0.37368740779310938</v>
      </c>
      <c r="N34" s="11">
        <v>0.33329636222810061</v>
      </c>
    </row>
    <row r="35" spans="1:14" x14ac:dyDescent="0.2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x14ac:dyDescent="0.2">
      <c r="A36" s="5" t="s">
        <v>40</v>
      </c>
      <c r="B36" s="6">
        <v>782</v>
      </c>
      <c r="C36" s="6">
        <v>817</v>
      </c>
      <c r="D36" s="6">
        <v>781</v>
      </c>
      <c r="E36" s="6">
        <v>789</v>
      </c>
      <c r="F36" s="6">
        <v>784</v>
      </c>
      <c r="G36" s="6">
        <v>788</v>
      </c>
      <c r="H36" s="6">
        <v>815</v>
      </c>
      <c r="I36" s="6">
        <v>787</v>
      </c>
      <c r="J36" s="6">
        <v>793</v>
      </c>
      <c r="K36" s="6">
        <v>791</v>
      </c>
      <c r="L36" s="6">
        <v>818</v>
      </c>
      <c r="M36" s="6">
        <v>796</v>
      </c>
      <c r="N36" s="6">
        <v>9541</v>
      </c>
    </row>
    <row r="37" spans="1:14" x14ac:dyDescent="0.2">
      <c r="A37" s="7" t="s">
        <v>41</v>
      </c>
      <c r="B37" s="8">
        <v>10470</v>
      </c>
      <c r="C37" s="8">
        <v>9524</v>
      </c>
      <c r="D37" s="8">
        <v>12643</v>
      </c>
      <c r="E37" s="8">
        <v>14157</v>
      </c>
      <c r="F37" s="8">
        <v>12082</v>
      </c>
      <c r="G37" s="8">
        <v>11509</v>
      </c>
      <c r="H37" s="8">
        <v>14467</v>
      </c>
      <c r="I37" s="8">
        <v>13040</v>
      </c>
      <c r="J37" s="8">
        <v>15293</v>
      </c>
      <c r="K37" s="8">
        <v>17906</v>
      </c>
      <c r="L37" s="8">
        <v>18935</v>
      </c>
      <c r="M37" s="8">
        <v>20734</v>
      </c>
      <c r="N37" s="8">
        <v>170760</v>
      </c>
    </row>
    <row r="38" spans="1:14" x14ac:dyDescent="0.2">
      <c r="A38" s="10" t="s">
        <v>42</v>
      </c>
      <c r="B38" s="12">
        <v>0.2775053672241512</v>
      </c>
      <c r="C38" s="12">
        <v>0.26598894040105009</v>
      </c>
      <c r="D38" s="12">
        <v>0.30216773021677301</v>
      </c>
      <c r="E38" s="12">
        <v>0.31568736759950938</v>
      </c>
      <c r="F38" s="12">
        <v>0.29408757880388481</v>
      </c>
      <c r="G38" s="12">
        <v>0.28760276882325009</v>
      </c>
      <c r="H38" s="12">
        <v>0.31709188146589512</v>
      </c>
      <c r="I38" s="12">
        <v>0.30384938018454649</v>
      </c>
      <c r="J38" s="12">
        <v>0.3244785809764274</v>
      </c>
      <c r="K38" s="12">
        <v>0.34364564541511528</v>
      </c>
      <c r="L38" s="12">
        <v>0.34903225806451621</v>
      </c>
      <c r="M38" s="12">
        <v>0.35987156122537528</v>
      </c>
      <c r="N38" s="11">
        <v>0.31565929647683849</v>
      </c>
    </row>
    <row r="39" spans="1:14" x14ac:dyDescent="0.2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2">
      <c r="A40" s="5" t="s">
        <v>43</v>
      </c>
      <c r="B40" s="6">
        <v>51</v>
      </c>
      <c r="C40" s="6">
        <v>49</v>
      </c>
      <c r="D40" s="6">
        <v>49</v>
      </c>
      <c r="E40" s="6">
        <v>48</v>
      </c>
      <c r="F40" s="6">
        <v>50</v>
      </c>
      <c r="G40" s="6">
        <v>50</v>
      </c>
      <c r="H40" s="6">
        <v>50</v>
      </c>
      <c r="I40" s="6">
        <v>50</v>
      </c>
      <c r="J40" s="6">
        <v>49</v>
      </c>
      <c r="K40" s="6">
        <v>49</v>
      </c>
      <c r="L40" s="6">
        <v>50</v>
      </c>
      <c r="M40" s="6">
        <v>48</v>
      </c>
      <c r="N40" s="6">
        <v>593</v>
      </c>
    </row>
    <row r="41" spans="1:14" x14ac:dyDescent="0.2">
      <c r="A41" s="7" t="s">
        <v>44</v>
      </c>
      <c r="B41" s="8">
        <v>10419</v>
      </c>
      <c r="C41" s="8">
        <v>9475</v>
      </c>
      <c r="D41" s="8">
        <v>12594</v>
      </c>
      <c r="E41" s="8">
        <v>14109</v>
      </c>
      <c r="F41" s="8">
        <v>12032</v>
      </c>
      <c r="G41" s="8">
        <v>11459</v>
      </c>
      <c r="H41" s="8">
        <v>14417</v>
      </c>
      <c r="I41" s="8">
        <v>12990</v>
      </c>
      <c r="J41" s="8">
        <v>15244</v>
      </c>
      <c r="K41" s="8">
        <v>17857</v>
      </c>
      <c r="L41" s="8">
        <v>18885</v>
      </c>
      <c r="M41" s="8">
        <v>20686</v>
      </c>
      <c r="N41" s="8">
        <v>170167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tabSelected="1" topLeftCell="A2" workbookViewId="0">
      <selection activeCell="C9" sqref="C9"/>
    </sheetView>
  </sheetViews>
  <sheetFormatPr baseColWidth="10" defaultColWidth="8.83203125" defaultRowHeight="15" x14ac:dyDescent="0.2"/>
  <cols>
    <col min="1" max="1" width="30" customWidth="1"/>
    <col min="2" max="4" width="28" customWidth="1"/>
  </cols>
  <sheetData>
    <row r="1" spans="1:4" ht="18" x14ac:dyDescent="0.2">
      <c r="A1" s="19" t="s">
        <v>47</v>
      </c>
      <c r="B1" s="18"/>
      <c r="C1" s="18"/>
      <c r="D1" s="18"/>
    </row>
    <row r="3" spans="1:4" x14ac:dyDescent="0.2">
      <c r="A3" s="13" t="s">
        <v>48</v>
      </c>
      <c r="B3" s="13" t="s">
        <v>49</v>
      </c>
      <c r="C3" s="13" t="s">
        <v>50</v>
      </c>
      <c r="D3" s="13" t="s">
        <v>51</v>
      </c>
    </row>
    <row r="4" spans="1:4" x14ac:dyDescent="0.2">
      <c r="A4" s="14" t="s">
        <v>52</v>
      </c>
      <c r="B4" s="15">
        <v>2001</v>
      </c>
      <c r="C4" s="15">
        <v>1994</v>
      </c>
      <c r="D4" s="15">
        <v>2018</v>
      </c>
    </row>
    <row r="5" spans="1:4" x14ac:dyDescent="0.2">
      <c r="A5" s="14" t="s">
        <v>53</v>
      </c>
      <c r="B5" s="15">
        <v>2</v>
      </c>
      <c r="C5" s="15">
        <v>3</v>
      </c>
      <c r="D5" s="15">
        <v>1</v>
      </c>
    </row>
    <row r="6" spans="1:4" x14ac:dyDescent="0.2">
      <c r="A6" s="14" t="s">
        <v>54</v>
      </c>
      <c r="B6" s="15">
        <v>16</v>
      </c>
      <c r="C6" s="15">
        <v>21</v>
      </c>
      <c r="D6" s="15">
        <v>8</v>
      </c>
    </row>
    <row r="7" spans="1:4" x14ac:dyDescent="0.2">
      <c r="A7" s="14" t="s">
        <v>55</v>
      </c>
      <c r="B7" s="15">
        <v>18</v>
      </c>
      <c r="C7" s="15">
        <v>24</v>
      </c>
      <c r="D7" s="15">
        <v>9</v>
      </c>
    </row>
    <row r="8" spans="1:4" x14ac:dyDescent="0.2">
      <c r="A8" s="14" t="s">
        <v>56</v>
      </c>
      <c r="B8" s="15">
        <v>420</v>
      </c>
      <c r="C8" s="15">
        <v>580</v>
      </c>
      <c r="D8" s="15">
        <v>180</v>
      </c>
    </row>
    <row r="9" spans="1:4" x14ac:dyDescent="0.2">
      <c r="A9" s="14" t="s">
        <v>57</v>
      </c>
      <c r="B9" s="15" t="s">
        <v>58</v>
      </c>
      <c r="C9" s="15" t="s">
        <v>59</v>
      </c>
      <c r="D9" s="15" t="s">
        <v>60</v>
      </c>
    </row>
    <row r="10" spans="1:4" x14ac:dyDescent="0.2">
      <c r="A10" s="16"/>
      <c r="B10" s="15"/>
      <c r="C10" s="15"/>
      <c r="D10" s="15"/>
    </row>
    <row r="11" spans="1:4" x14ac:dyDescent="0.2">
      <c r="A11" s="14" t="s">
        <v>61</v>
      </c>
      <c r="B11" s="15" t="s">
        <v>62</v>
      </c>
      <c r="C11" s="15" t="s">
        <v>63</v>
      </c>
      <c r="D11" s="15" t="s">
        <v>64</v>
      </c>
    </row>
    <row r="12" spans="1:4" x14ac:dyDescent="0.2">
      <c r="A12" s="14" t="s">
        <v>65</v>
      </c>
      <c r="B12" s="15" t="s">
        <v>66</v>
      </c>
      <c r="C12" s="15" t="s">
        <v>67</v>
      </c>
      <c r="D12" s="15" t="s">
        <v>68</v>
      </c>
    </row>
    <row r="13" spans="1:4" x14ac:dyDescent="0.2">
      <c r="A13" s="14" t="s">
        <v>69</v>
      </c>
      <c r="B13" s="15" t="s">
        <v>66</v>
      </c>
      <c r="C13" s="15" t="s">
        <v>66</v>
      </c>
      <c r="D13" s="15" t="s">
        <v>67</v>
      </c>
    </row>
    <row r="14" spans="1:4" x14ac:dyDescent="0.2">
      <c r="A14" s="14" t="s">
        <v>70</v>
      </c>
      <c r="B14" s="15" t="s">
        <v>71</v>
      </c>
      <c r="C14" s="15" t="s">
        <v>71</v>
      </c>
      <c r="D14" s="15" t="s">
        <v>68</v>
      </c>
    </row>
    <row r="15" spans="1:4" x14ac:dyDescent="0.2">
      <c r="A15" s="16"/>
      <c r="B15" s="15"/>
      <c r="C15" s="15"/>
      <c r="D15" s="15"/>
    </row>
    <row r="16" spans="1:4" ht="29" x14ac:dyDescent="0.2">
      <c r="A16" s="14" t="s">
        <v>72</v>
      </c>
      <c r="B16" s="15" t="s">
        <v>73</v>
      </c>
      <c r="C16" s="15" t="s">
        <v>74</v>
      </c>
      <c r="D16" s="15" t="s">
        <v>75</v>
      </c>
    </row>
    <row r="17" spans="1:4" x14ac:dyDescent="0.2">
      <c r="A17" s="14" t="s">
        <v>76</v>
      </c>
      <c r="B17" s="15" t="s">
        <v>77</v>
      </c>
      <c r="C17" s="15" t="s">
        <v>78</v>
      </c>
      <c r="D17" s="15" t="s">
        <v>79</v>
      </c>
    </row>
    <row r="18" spans="1:4" x14ac:dyDescent="0.2">
      <c r="A18" s="14" t="s">
        <v>80</v>
      </c>
      <c r="B18" s="15" t="s">
        <v>81</v>
      </c>
      <c r="C18" s="15" t="s">
        <v>82</v>
      </c>
      <c r="D18" s="15" t="s">
        <v>83</v>
      </c>
    </row>
    <row r="19" spans="1:4" x14ac:dyDescent="0.2">
      <c r="A19" s="14" t="s">
        <v>84</v>
      </c>
      <c r="B19" s="15" t="s">
        <v>85</v>
      </c>
      <c r="C19" s="15" t="s">
        <v>85</v>
      </c>
      <c r="D19" s="15" t="s">
        <v>86</v>
      </c>
    </row>
    <row r="20" spans="1:4" x14ac:dyDescent="0.2">
      <c r="A20" s="14" t="s">
        <v>87</v>
      </c>
      <c r="B20" s="15" t="s">
        <v>88</v>
      </c>
      <c r="C20" s="15" t="s">
        <v>85</v>
      </c>
      <c r="D20" s="15" t="s">
        <v>89</v>
      </c>
    </row>
    <row r="21" spans="1:4" x14ac:dyDescent="0.2">
      <c r="A21" s="16"/>
      <c r="B21" s="15"/>
      <c r="C21" s="15"/>
      <c r="D21" s="15"/>
    </row>
    <row r="22" spans="1:4" ht="29" x14ac:dyDescent="0.2">
      <c r="A22" s="14" t="s">
        <v>90</v>
      </c>
      <c r="B22" s="15" t="s">
        <v>91</v>
      </c>
      <c r="C22" s="15" t="s">
        <v>92</v>
      </c>
      <c r="D22" s="15" t="s">
        <v>93</v>
      </c>
    </row>
    <row r="23" spans="1:4" x14ac:dyDescent="0.2">
      <c r="A23" s="14" t="s">
        <v>94</v>
      </c>
      <c r="B23" s="15" t="s">
        <v>95</v>
      </c>
      <c r="C23" s="15" t="s">
        <v>96</v>
      </c>
      <c r="D23" s="15" t="s">
        <v>97</v>
      </c>
    </row>
    <row r="24" spans="1:4" x14ac:dyDescent="0.2">
      <c r="A24" s="14" t="s">
        <v>98</v>
      </c>
      <c r="B24" s="15" t="s">
        <v>99</v>
      </c>
      <c r="C24" s="15" t="s">
        <v>100</v>
      </c>
      <c r="D24" s="15" t="s">
        <v>101</v>
      </c>
    </row>
    <row r="25" spans="1:4" x14ac:dyDescent="0.2">
      <c r="A25" s="14" t="s">
        <v>102</v>
      </c>
      <c r="B25" s="15" t="s">
        <v>103</v>
      </c>
      <c r="C25" s="15" t="s">
        <v>104</v>
      </c>
      <c r="D25" s="15" t="s">
        <v>78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BWA Bergmann</vt:lpstr>
      <vt:lpstr>BWA Fiedler</vt:lpstr>
      <vt:lpstr>BWA Nowak</vt:lpstr>
      <vt:lpstr>Kanzlei-Profil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Dennis Bömken</cp:lastModifiedBy>
  <dcterms:created xsi:type="dcterms:W3CDTF">2026-05-04T19:22:58Z</dcterms:created>
  <dcterms:modified xsi:type="dcterms:W3CDTF">2026-05-05T14:01:54Z</dcterms:modified>
</cp:coreProperties>
</file>